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demic Paper\Y4 Literature review\Data for model\Full data version\"/>
    </mc:Choice>
  </mc:AlternateContent>
  <xr:revisionPtr revIDLastSave="0" documentId="8_{17657609-EC58-4DA0-822B-F604E939AD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3" i="1" l="1"/>
  <c r="N108" i="1"/>
  <c r="O103" i="1"/>
  <c r="O102" i="1"/>
  <c r="O101" i="1"/>
  <c r="O100" i="1"/>
  <c r="N91" i="1"/>
  <c r="N90" i="1"/>
  <c r="N87" i="1"/>
  <c r="N86" i="1"/>
  <c r="N80" i="1"/>
  <c r="N23" i="1"/>
  <c r="N20" i="1"/>
  <c r="N9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8" i="1"/>
  <c r="O59" i="1"/>
  <c r="O57" i="1"/>
  <c r="O55" i="1"/>
  <c r="O56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3" i="1"/>
  <c r="O24" i="1"/>
  <c r="O22" i="1"/>
  <c r="O20" i="1"/>
  <c r="O21" i="1"/>
  <c r="O19" i="1"/>
  <c r="O18" i="1"/>
  <c r="O16" i="1"/>
  <c r="O17" i="1"/>
  <c r="O14" i="1"/>
  <c r="O15" i="1"/>
  <c r="O13" i="1"/>
  <c r="O12" i="1"/>
  <c r="O11" i="1"/>
  <c r="O9" i="1"/>
  <c r="O10" i="1"/>
  <c r="O8" i="1"/>
  <c r="O7" i="1"/>
  <c r="O6" i="1"/>
  <c r="O5" i="1"/>
  <c r="O4" i="1"/>
  <c r="O3" i="1"/>
  <c r="O2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8" i="1"/>
  <c r="M59" i="1"/>
  <c r="M57" i="1"/>
  <c r="M55" i="1"/>
  <c r="M56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3" i="1"/>
  <c r="M24" i="1"/>
  <c r="M22" i="1"/>
  <c r="M20" i="1"/>
  <c r="M21" i="1"/>
  <c r="M19" i="1"/>
  <c r="M18" i="1"/>
  <c r="M16" i="1"/>
  <c r="M17" i="1"/>
  <c r="M14" i="1"/>
  <c r="M15" i="1"/>
  <c r="M13" i="1"/>
  <c r="M12" i="1"/>
  <c r="M11" i="1"/>
  <c r="M9" i="1"/>
  <c r="M10" i="1"/>
  <c r="M8" i="1"/>
  <c r="M7" i="1"/>
  <c r="M6" i="1"/>
  <c r="M5" i="1"/>
  <c r="M4" i="1"/>
  <c r="M3" i="1"/>
  <c r="M2" i="1"/>
  <c r="N117" i="1"/>
  <c r="N116" i="1"/>
  <c r="N115" i="1"/>
  <c r="N114" i="1"/>
  <c r="N112" i="1"/>
  <c r="N111" i="1"/>
  <c r="N110" i="1"/>
  <c r="N109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89" i="1"/>
  <c r="N88" i="1"/>
  <c r="N85" i="1"/>
  <c r="N84" i="1"/>
  <c r="N83" i="1"/>
  <c r="N82" i="1"/>
  <c r="N81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8" i="1"/>
  <c r="N59" i="1"/>
  <c r="N57" i="1"/>
  <c r="N55" i="1"/>
  <c r="N56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2" i="1"/>
  <c r="N21" i="1"/>
  <c r="N19" i="1"/>
  <c r="N18" i="1"/>
  <c r="N16" i="1"/>
  <c r="N17" i="1"/>
  <c r="N14" i="1"/>
  <c r="N15" i="1"/>
  <c r="N13" i="1"/>
  <c r="N12" i="1"/>
  <c r="N11" i="1"/>
  <c r="N10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<sst xmlns="http://schemas.openxmlformats.org/spreadsheetml/2006/main" count="247" uniqueCount="193">
  <si>
    <t>Date</t>
  </si>
  <si>
    <t>M1M2_Actual</t>
  </si>
  <si>
    <t>CPI_Actual</t>
  </si>
  <si>
    <t>CPI_Forecast</t>
  </si>
  <si>
    <t>THOR_1M</t>
  </si>
  <si>
    <t>THOR_3M</t>
  </si>
  <si>
    <t>THOR_6M</t>
  </si>
  <si>
    <t>IPI_Actual</t>
  </si>
  <si>
    <t>IPI_Forecast</t>
  </si>
  <si>
    <t>-0.57%</t>
  </si>
  <si>
    <t>0.84%</t>
  </si>
  <si>
    <t>1.23%</t>
  </si>
  <si>
    <t>0.83%</t>
  </si>
  <si>
    <t>0.61%</t>
  </si>
  <si>
    <t>0.62%</t>
  </si>
  <si>
    <t>1.54%</t>
  </si>
  <si>
    <t>0.19%</t>
  </si>
  <si>
    <t>-0.47%</t>
  </si>
  <si>
    <t>-0.77%</t>
  </si>
  <si>
    <t>-1.11%</t>
  </si>
  <si>
    <t>-0.83%</t>
  </si>
  <si>
    <t>-0.44%</t>
  </si>
  <si>
    <t>-0.31%</t>
  </si>
  <si>
    <t>0.30%</t>
  </si>
  <si>
    <t>0.88%</t>
  </si>
  <si>
    <t>0.38%</t>
  </si>
  <si>
    <t>0.23%</t>
  </si>
  <si>
    <t>0.53%</t>
  </si>
  <si>
    <t>2.67%</t>
  </si>
  <si>
    <t>2.83%</t>
  </si>
  <si>
    <t>3.79%</t>
  </si>
  <si>
    <t>5.02%</t>
  </si>
  <si>
    <t>5.89%</t>
  </si>
  <si>
    <t>5.55%</t>
  </si>
  <si>
    <t>5.98%</t>
  </si>
  <si>
    <t>6.41%</t>
  </si>
  <si>
    <t>7.86%</t>
  </si>
  <si>
    <t>7.61%</t>
  </si>
  <si>
    <t>7.66%</t>
  </si>
  <si>
    <t>7.10%</t>
  </si>
  <si>
    <t>4.65%</t>
  </si>
  <si>
    <t>5.73%</t>
  </si>
  <si>
    <t>5.28%</t>
  </si>
  <si>
    <t>3.23%</t>
  </si>
  <si>
    <t>2.17%</t>
  </si>
  <si>
    <t>2.71%</t>
  </si>
  <si>
    <t>2.38%</t>
  </si>
  <si>
    <t>1.68%</t>
  </si>
  <si>
    <t>-0.02%</t>
  </si>
  <si>
    <t>0.45%</t>
  </si>
  <si>
    <t>1.25%</t>
  </si>
  <si>
    <t>2.44%</t>
  </si>
  <si>
    <t>3.41%</t>
  </si>
  <si>
    <t>-0.08%</t>
  </si>
  <si>
    <t>-1.17%</t>
  </si>
  <si>
    <t>-0.34%</t>
  </si>
  <si>
    <t>-0.27%</t>
  </si>
  <si>
    <t>-0.41%</t>
  </si>
  <si>
    <t>-0.50%</t>
  </si>
  <si>
    <t>-0.70%</t>
  </si>
  <si>
    <t>-0.98%</t>
  </si>
  <si>
    <t>-1.57%</t>
  </si>
  <si>
    <t>-3.44%</t>
  </si>
  <si>
    <t>-2.99%</t>
  </si>
  <si>
    <t>-0.54%</t>
  </si>
  <si>
    <t>0.74%</t>
  </si>
  <si>
    <t>1.05%</t>
  </si>
  <si>
    <t>0.87%</t>
  </si>
  <si>
    <t>0.21%</t>
  </si>
  <si>
    <t>0.11%</t>
  </si>
  <si>
    <t>0.32%</t>
  </si>
  <si>
    <t>0.52%</t>
  </si>
  <si>
    <t>0.98%</t>
  </si>
  <si>
    <t>1.15%</t>
  </si>
  <si>
    <t>1.24%</t>
  </si>
  <si>
    <t>0.73%</t>
  </si>
  <si>
    <t>0.27%</t>
  </si>
  <si>
    <t>0.36%</t>
  </si>
  <si>
    <t>0.94%</t>
  </si>
  <si>
    <t>1.33%</t>
  </si>
  <si>
    <t>1.62%</t>
  </si>
  <si>
    <t>1.46%</t>
  </si>
  <si>
    <t>1.38%</t>
  </si>
  <si>
    <t>1.49%</t>
  </si>
  <si>
    <t>1.07%</t>
  </si>
  <si>
    <t>0.79%</t>
  </si>
  <si>
    <t>0.42%</t>
  </si>
  <si>
    <t>0.68%</t>
  </si>
  <si>
    <t>0.78%</t>
  </si>
  <si>
    <t>0.99%</t>
  </si>
  <si>
    <t>0.86%</t>
  </si>
  <si>
    <t>0.17%</t>
  </si>
  <si>
    <t>-0.05%</t>
  </si>
  <si>
    <t>-0.04%</t>
  </si>
  <si>
    <t>0.76%</t>
  </si>
  <si>
    <t>1.44%</t>
  </si>
  <si>
    <t>1.55%</t>
  </si>
  <si>
    <t>1.13%</t>
  </si>
  <si>
    <t>0.60%</t>
  </si>
  <si>
    <t>0.34%</t>
  </si>
  <si>
    <t>0.29%</t>
  </si>
  <si>
    <t>0.10%</t>
  </si>
  <si>
    <t>0.46%</t>
  </si>
  <si>
    <t>0.07%</t>
  </si>
  <si>
    <t>-0.46%</t>
  </si>
  <si>
    <t>-0.53%</t>
  </si>
  <si>
    <t>-0.85%</t>
  </si>
  <si>
    <t>-0.97%</t>
  </si>
  <si>
    <t>-1.07%</t>
  </si>
  <si>
    <t>-1.19%</t>
  </si>
  <si>
    <t>-1.05%</t>
  </si>
  <si>
    <t>-1.27%</t>
  </si>
  <si>
    <t>-1.04%</t>
  </si>
  <si>
    <t>-0.52%</t>
  </si>
  <si>
    <t>-0.10%</t>
  </si>
  <si>
    <t>1.10%</t>
  </si>
  <si>
    <t>1.30%</t>
  </si>
  <si>
    <t>1.53%</t>
  </si>
  <si>
    <t>0.40%</t>
  </si>
  <si>
    <t>0.70%</t>
  </si>
  <si>
    <t>1.00%</t>
  </si>
  <si>
    <t>1.19%</t>
  </si>
  <si>
    <t>-0.40%</t>
  </si>
  <si>
    <t>-0.80%</t>
  </si>
  <si>
    <t>-0.82%</t>
  </si>
  <si>
    <t>-0.30%</t>
  </si>
  <si>
    <t>0.00%</t>
  </si>
  <si>
    <t>0.80%</t>
  </si>
  <si>
    <t>0.64%</t>
  </si>
  <si>
    <t>1.70%</t>
  </si>
  <si>
    <t>2.70%</t>
  </si>
  <si>
    <t>3.30%</t>
  </si>
  <si>
    <t>4.18%</t>
  </si>
  <si>
    <t>5.12%</t>
  </si>
  <si>
    <t>5.90%</t>
  </si>
  <si>
    <t>5.85%</t>
  </si>
  <si>
    <t>6.60%</t>
  </si>
  <si>
    <t>7.85%</t>
  </si>
  <si>
    <t>7.80%</t>
  </si>
  <si>
    <t>7.50%</t>
  </si>
  <si>
    <t>4.98%</t>
  </si>
  <si>
    <t>5.60%</t>
  </si>
  <si>
    <t>4.05%</t>
  </si>
  <si>
    <t>2.40%</t>
  </si>
  <si>
    <t>2.56%</t>
  </si>
  <si>
    <t>2.50%</t>
  </si>
  <si>
    <t>1.91%</t>
  </si>
  <si>
    <t>0.97%</t>
  </si>
  <si>
    <t>1.14%</t>
  </si>
  <si>
    <t>2.85%</t>
  </si>
  <si>
    <t>-0.20%</t>
  </si>
  <si>
    <t>-0.39%</t>
  </si>
  <si>
    <t>-0.42%</t>
  </si>
  <si>
    <t>-0.64%</t>
  </si>
  <si>
    <t>-1.46%</t>
  </si>
  <si>
    <t>-2.80%</t>
  </si>
  <si>
    <t>-2.95%</t>
  </si>
  <si>
    <t>-1.20%</t>
  </si>
  <si>
    <t>-0.60%</t>
  </si>
  <si>
    <t>0.77%</t>
  </si>
  <si>
    <t>0.96%</t>
  </si>
  <si>
    <t>0.90%</t>
  </si>
  <si>
    <t>0.31%</t>
  </si>
  <si>
    <t>0.44%</t>
  </si>
  <si>
    <t>0.85%</t>
  </si>
  <si>
    <t>1.20%</t>
  </si>
  <si>
    <t>0.93%</t>
  </si>
  <si>
    <t>0.58%</t>
  </si>
  <si>
    <t>0.69%</t>
  </si>
  <si>
    <t>0.82%</t>
  </si>
  <si>
    <t>0.71%</t>
  </si>
  <si>
    <t>1.57%</t>
  </si>
  <si>
    <t>0.66%</t>
  </si>
  <si>
    <t>0.43%</t>
  </si>
  <si>
    <t>0.50%</t>
  </si>
  <si>
    <t>-0.51%</t>
  </si>
  <si>
    <t>-0.49%</t>
  </si>
  <si>
    <t>-0.81%</t>
  </si>
  <si>
    <t>-0.71%</t>
  </si>
  <si>
    <t>-0.94%</t>
  </si>
  <si>
    <t>-1.08%</t>
  </si>
  <si>
    <t>-1.02%</t>
  </si>
  <si>
    <t>-1.00%</t>
  </si>
  <si>
    <t>-1.12%</t>
  </si>
  <si>
    <t>-0.45%</t>
  </si>
  <si>
    <t>-0.33%</t>
  </si>
  <si>
    <t>0.25%</t>
  </si>
  <si>
    <t>Bond_1Y</t>
  </si>
  <si>
    <t>Bond_5Y</t>
  </si>
  <si>
    <t>Bond_10Y</t>
  </si>
  <si>
    <t>Bond_spread_10Y_5Y</t>
  </si>
  <si>
    <t>Bond_spread_5Y_1Y</t>
  </si>
  <si>
    <t>Bond_spread_10Y_1Y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</si>
</sst>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70000]d/mm/yyyy;@"/>
    <numFmt numFmtId="166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"/>
  <sheetViews>
    <sheetView tabSelected="1" zoomScale="94" workbookViewId="0">
      <selection activeCell="D25" sqref="D25"/>
    </sheetView>
  </sheetViews>
  <sheetFormatPr defaultRowHeight="15" x14ac:dyDescent="0.25"/>
  <cols>
    <col min="1" max="1" width="18.28515625" style="3" bestFit="1" customWidth="1"/>
    <col min="2" max="2" width="13.42578125" bestFit="1" customWidth="1"/>
    <col min="3" max="3" width="10.42578125" bestFit="1" customWidth="1"/>
    <col min="4" max="4" width="12.28515625" bestFit="1" customWidth="1"/>
    <col min="5" max="7" width="9.7109375" bestFit="1" customWidth="1"/>
    <col min="8" max="8" width="9.85546875" bestFit="1" customWidth="1"/>
    <col min="9" max="12" width="11.7109375" bestFit="1" customWidth="1"/>
    <col min="13" max="15" width="20.140625" bestFit="1" customWidth="1"/>
  </cols>
  <sheetData>
    <row r="1" spans="1:1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</row>
    <row r="2" spans="1:15" x14ac:dyDescent="0.25">
      <c r="A2" s="3">
        <v>42005</v>
      </c>
      <c r="B2">
        <v>16947602</v>
      </c>
      <c r="C2" t="s">
        <v>98</v>
      </c>
      <c r="D2" t="s">
        <v>115</v>
      </c>
      <c r="E2" s="4">
        <v>1.99265E-2</v>
      </c>
      <c r="F2" s="4">
        <v>1.9961400000000001E-2</v>
      </c>
      <c r="G2" s="4">
        <v>2.0022999999999999E-2</v>
      </c>
      <c r="H2" s="4">
        <v>-3.4999999999999996E-3</v>
      </c>
      <c r="I2" s="4">
        <v>-1.8000000000000002E-2</v>
      </c>
      <c r="J2" s="4">
        <v>1.9799999999999998E-2</v>
      </c>
      <c r="K2" s="4">
        <v>2.2200000000000001E-2</v>
      </c>
      <c r="L2" s="4">
        <v>2.7799999999999998E-2</v>
      </c>
      <c r="M2" s="4">
        <f>L2-K2</f>
        <v>5.5999999999999973E-3</v>
      </c>
      <c r="N2" s="4">
        <f>K2-J2</f>
        <v>2.4000000000000028E-3</v>
      </c>
      <c r="O2" s="4">
        <f>L2-J2</f>
        <v>8.0000000000000002E-3</v>
      </c>
    </row>
    <row r="3" spans="1:15" x14ac:dyDescent="0.25">
      <c r="A3" s="3">
        <v>42036</v>
      </c>
      <c r="B3">
        <v>17113914</v>
      </c>
      <c r="C3" t="s">
        <v>57</v>
      </c>
      <c r="D3" t="s">
        <v>186</v>
      </c>
      <c r="E3" s="4">
        <v>1.99545E-2</v>
      </c>
      <c r="F3" s="4">
        <v>1.9969500000000001E-2</v>
      </c>
      <c r="G3" s="4">
        <v>2.0022999999999999E-2</v>
      </c>
      <c r="H3" s="4">
        <v>-1.3100000000000001E-2</v>
      </c>
      <c r="I3" s="4">
        <v>-6.5000000000000006E-3</v>
      </c>
      <c r="J3" s="4">
        <v>1.9699999999999999E-2</v>
      </c>
      <c r="K3" s="4">
        <v>2.3199999999999998E-2</v>
      </c>
      <c r="L3" s="4">
        <v>2.8799999999999999E-2</v>
      </c>
      <c r="M3" s="4">
        <f>L3-K3</f>
        <v>5.6000000000000008E-3</v>
      </c>
      <c r="N3" s="4">
        <f>K3-J3</f>
        <v>3.4999999999999996E-3</v>
      </c>
      <c r="O3" s="4">
        <f>L3-J3</f>
        <v>9.1000000000000004E-3</v>
      </c>
    </row>
    <row r="4" spans="1:15" x14ac:dyDescent="0.25">
      <c r="A4" s="3">
        <v>42064</v>
      </c>
      <c r="B4">
        <v>17193104</v>
      </c>
      <c r="C4" t="s">
        <v>113</v>
      </c>
      <c r="D4" t="s">
        <v>185</v>
      </c>
      <c r="E4" s="4">
        <v>1.9941899999999999E-2</v>
      </c>
      <c r="F4" s="4">
        <v>1.9973600000000001E-2</v>
      </c>
      <c r="G4" s="4">
        <v>2.0019300000000004E-2</v>
      </c>
      <c r="H4" s="4">
        <v>3.5499999999999997E-2</v>
      </c>
      <c r="I4" s="4">
        <v>-2.5000000000000001E-3</v>
      </c>
      <c r="J4" s="4">
        <v>1.7399999999999999E-2</v>
      </c>
      <c r="K4" s="4">
        <v>2.1899999999999999E-2</v>
      </c>
      <c r="L4" s="4">
        <v>2.7699999999999999E-2</v>
      </c>
      <c r="M4" s="4">
        <f>L4-K4</f>
        <v>5.7999999999999996E-3</v>
      </c>
      <c r="N4" s="4">
        <f>K4-J4</f>
        <v>4.5000000000000005E-3</v>
      </c>
      <c r="O4" s="4">
        <f>L4-J4</f>
        <v>1.03E-2</v>
      </c>
    </row>
    <row r="5" spans="1:15" x14ac:dyDescent="0.25">
      <c r="A5" s="3">
        <v>42095</v>
      </c>
      <c r="B5">
        <v>17166475</v>
      </c>
      <c r="C5" t="s">
        <v>9</v>
      </c>
      <c r="D5" t="s">
        <v>184</v>
      </c>
      <c r="E5" s="4">
        <v>1.8201099999999998E-2</v>
      </c>
      <c r="F5" s="4">
        <v>1.9368099999999999E-2</v>
      </c>
      <c r="G5" s="4">
        <v>1.9729099999999999E-2</v>
      </c>
      <c r="H5" s="4">
        <v>-1.8000000000000002E-2</v>
      </c>
      <c r="I5" s="4">
        <v>4.9000000000000002E-2</v>
      </c>
      <c r="J5" s="4">
        <v>1.47E-2</v>
      </c>
      <c r="K5" s="4">
        <v>1.95E-2</v>
      </c>
      <c r="L5" s="4">
        <v>2.46E-2</v>
      </c>
      <c r="M5" s="4">
        <f>L5-K5</f>
        <v>5.1000000000000004E-3</v>
      </c>
      <c r="N5" s="4">
        <f>K5-J5</f>
        <v>4.8000000000000004E-3</v>
      </c>
      <c r="O5" s="4">
        <f>L5-J5</f>
        <v>9.9000000000000008E-3</v>
      </c>
    </row>
    <row r="6" spans="1:15" x14ac:dyDescent="0.25">
      <c r="A6" s="3">
        <v>42125</v>
      </c>
      <c r="B6">
        <v>17190904</v>
      </c>
      <c r="C6" t="s">
        <v>112</v>
      </c>
      <c r="D6" t="s">
        <v>123</v>
      </c>
      <c r="E6" s="4">
        <v>1.6928200000000001E-2</v>
      </c>
      <c r="F6" s="4">
        <v>1.82084E-2</v>
      </c>
      <c r="G6" s="4">
        <v>1.9148000000000002E-2</v>
      </c>
      <c r="H6" s="4">
        <v>-5.2999999999999999E-2</v>
      </c>
      <c r="I6" s="4">
        <v>-0.02</v>
      </c>
      <c r="J6" s="4">
        <v>1.61E-2</v>
      </c>
      <c r="K6" s="4">
        <v>2.0299999999999999E-2</v>
      </c>
      <c r="L6" s="4">
        <v>2.81E-2</v>
      </c>
      <c r="M6" s="4">
        <f>L6-K6</f>
        <v>7.8000000000000014E-3</v>
      </c>
      <c r="N6" s="4">
        <f>K6-J6</f>
        <v>4.1999999999999989E-3</v>
      </c>
      <c r="O6" s="4">
        <f>L6-J6</f>
        <v>1.2E-2</v>
      </c>
    </row>
    <row r="7" spans="1:15" x14ac:dyDescent="0.25">
      <c r="A7" s="3">
        <v>42156</v>
      </c>
      <c r="B7">
        <v>17103883</v>
      </c>
      <c r="C7" t="s">
        <v>111</v>
      </c>
      <c r="D7" t="s">
        <v>183</v>
      </c>
      <c r="E7" s="4">
        <v>1.49395E-2</v>
      </c>
      <c r="F7" s="4">
        <v>1.6793700000000002E-2</v>
      </c>
      <c r="G7" s="4">
        <v>1.8408000000000001E-2</v>
      </c>
      <c r="H7" s="4">
        <v>-7.5999999999999998E-2</v>
      </c>
      <c r="I7" s="4">
        <v>-4.8000000000000001E-2</v>
      </c>
      <c r="J7" s="4">
        <v>1.5800000000000002E-2</v>
      </c>
      <c r="K7" s="4">
        <v>2.1400000000000002E-2</v>
      </c>
      <c r="L7" s="4">
        <v>2.9600000000000001E-2</v>
      </c>
      <c r="M7" s="4">
        <f>L7-K7</f>
        <v>8.199999999999999E-3</v>
      </c>
      <c r="N7" s="4">
        <f>K7-J7</f>
        <v>5.6000000000000008E-3</v>
      </c>
      <c r="O7" s="4">
        <f>L7-J7</f>
        <v>1.38E-2</v>
      </c>
    </row>
    <row r="8" spans="1:15" x14ac:dyDescent="0.25">
      <c r="A8" s="3">
        <v>42186</v>
      </c>
      <c r="B8">
        <v>17071604</v>
      </c>
      <c r="C8" t="s">
        <v>108</v>
      </c>
      <c r="D8" t="s">
        <v>182</v>
      </c>
      <c r="E8" s="4">
        <v>1.49353E-2</v>
      </c>
      <c r="F8" s="4">
        <v>1.5706899999999999E-2</v>
      </c>
      <c r="G8" s="4">
        <v>1.7522699999999999E-2</v>
      </c>
      <c r="H8" s="4">
        <v>-0.08</v>
      </c>
      <c r="I8" s="4">
        <v>-5.1500000000000004E-2</v>
      </c>
      <c r="J8" s="4">
        <v>1.5600000000000001E-2</v>
      </c>
      <c r="K8" s="4">
        <v>2.1899999999999999E-2</v>
      </c>
      <c r="L8" s="4">
        <v>2.8199999999999999E-2</v>
      </c>
      <c r="M8" s="4">
        <f>L8-K8</f>
        <v>6.3E-3</v>
      </c>
      <c r="N8" s="4">
        <f>K8-J8</f>
        <v>6.2999999999999983E-3</v>
      </c>
      <c r="O8" s="4">
        <f>L8-J8</f>
        <v>1.2599999999999998E-2</v>
      </c>
    </row>
    <row r="9" spans="1:15" x14ac:dyDescent="0.25">
      <c r="A9" s="3">
        <v>42217</v>
      </c>
      <c r="B9">
        <v>17027719</v>
      </c>
      <c r="C9" t="s">
        <v>109</v>
      </c>
      <c r="D9" t="s">
        <v>181</v>
      </c>
      <c r="E9" s="4">
        <v>1.4926200000000001E-2</v>
      </c>
      <c r="F9" s="4">
        <v>1.49505E-2</v>
      </c>
      <c r="G9" s="4">
        <v>1.66696E-2</v>
      </c>
      <c r="H9" s="4">
        <v>-5.2999999999999999E-2</v>
      </c>
      <c r="I9" s="4">
        <v>-5.7500000000000002E-2</v>
      </c>
      <c r="J9" s="4">
        <v>1.5900000000000001E-2</v>
      </c>
      <c r="K9" s="4">
        <v>2.1499999999999998E-2</v>
      </c>
      <c r="L9" s="4">
        <v>2.8199999999999999E-2</v>
      </c>
      <c r="M9" s="4">
        <f>L9-K9</f>
        <v>6.7000000000000011E-3</v>
      </c>
      <c r="N9" s="4">
        <f>K9-J9</f>
        <v>5.5999999999999973E-3</v>
      </c>
      <c r="O9" s="4">
        <f>L9-J9</f>
        <v>1.2299999999999998E-2</v>
      </c>
    </row>
    <row r="10" spans="1:15" x14ac:dyDescent="0.25">
      <c r="A10" s="3">
        <v>42217</v>
      </c>
      <c r="B10">
        <v>17027719</v>
      </c>
      <c r="C10" t="s">
        <v>110</v>
      </c>
      <c r="D10" t="s">
        <v>60</v>
      </c>
      <c r="E10" s="4">
        <v>1.4926200000000001E-2</v>
      </c>
      <c r="F10" s="4">
        <v>1.49505E-2</v>
      </c>
      <c r="G10" s="4">
        <v>1.66696E-2</v>
      </c>
      <c r="H10" s="4">
        <v>-5.2999999999999999E-2</v>
      </c>
      <c r="I10" s="4">
        <v>-5.7500000000000002E-2</v>
      </c>
      <c r="J10" s="4">
        <v>1.6299999999999999E-2</v>
      </c>
      <c r="K10" s="4">
        <v>2.1600000000000001E-2</v>
      </c>
      <c r="L10" s="4">
        <v>2.7799999999999998E-2</v>
      </c>
      <c r="M10" s="4">
        <f>L10-K10</f>
        <v>6.1999999999999972E-3</v>
      </c>
      <c r="N10" s="4">
        <f>K10-J10</f>
        <v>5.3000000000000026E-3</v>
      </c>
      <c r="O10" s="4">
        <f>L10-J10</f>
        <v>1.15E-2</v>
      </c>
    </row>
    <row r="11" spans="1:15" x14ac:dyDescent="0.25">
      <c r="A11" s="3">
        <v>42248</v>
      </c>
      <c r="B11">
        <v>17080201</v>
      </c>
      <c r="C11" t="s">
        <v>108</v>
      </c>
      <c r="D11" t="s">
        <v>180</v>
      </c>
      <c r="E11" s="4">
        <v>1.4926600000000002E-2</v>
      </c>
      <c r="F11" s="4">
        <v>1.4946999999999998E-2</v>
      </c>
      <c r="G11" s="4">
        <v>1.5906800000000002E-2</v>
      </c>
      <c r="H11" s="4">
        <v>-8.3000000000000004E-2</v>
      </c>
      <c r="I11" s="4">
        <v>-6.3E-2</v>
      </c>
      <c r="J11" s="4">
        <v>1.5700000000000002E-2</v>
      </c>
      <c r="K11" s="4">
        <v>2.145E-2</v>
      </c>
      <c r="L11" s="4">
        <v>2.6800000000000001E-2</v>
      </c>
      <c r="M11" s="4">
        <f>L11-K11</f>
        <v>5.3500000000000006E-3</v>
      </c>
      <c r="N11" s="4">
        <f>K11-J11</f>
        <v>5.7499999999999982E-3</v>
      </c>
      <c r="O11" s="4">
        <f>L11-J11</f>
        <v>1.1099999999999999E-2</v>
      </c>
    </row>
    <row r="12" spans="1:15" x14ac:dyDescent="0.25">
      <c r="A12" s="3">
        <v>42309</v>
      </c>
      <c r="B12">
        <v>17354610</v>
      </c>
      <c r="C12" t="s">
        <v>18</v>
      </c>
      <c r="D12" t="s">
        <v>179</v>
      </c>
      <c r="E12" s="4">
        <v>1.4927999999999999E-2</v>
      </c>
      <c r="F12" s="4">
        <v>1.4947500000000001E-2</v>
      </c>
      <c r="G12" s="4">
        <v>1.49766E-2</v>
      </c>
      <c r="H12" s="4">
        <v>-4.1700000000000001E-2</v>
      </c>
      <c r="I12" s="4">
        <v>-3.7499999999999999E-2</v>
      </c>
      <c r="J12" s="4">
        <v>1.5900000000000001E-2</v>
      </c>
      <c r="K12" s="4">
        <v>2.12E-2</v>
      </c>
      <c r="L12" s="4">
        <v>2.76E-2</v>
      </c>
      <c r="M12" s="4">
        <f>L12-K12</f>
        <v>6.3999999999999994E-3</v>
      </c>
      <c r="N12" s="4">
        <f>K12-J12</f>
        <v>5.2999999999999992E-3</v>
      </c>
      <c r="O12" s="4">
        <f>L12-J12</f>
        <v>1.1699999999999999E-2</v>
      </c>
    </row>
    <row r="13" spans="1:15" x14ac:dyDescent="0.25">
      <c r="A13" s="3">
        <v>42339</v>
      </c>
      <c r="B13">
        <v>17554630</v>
      </c>
      <c r="C13" t="s">
        <v>107</v>
      </c>
      <c r="D13" t="s">
        <v>178</v>
      </c>
      <c r="E13" s="4">
        <v>1.4935499999999999E-2</v>
      </c>
      <c r="F13" s="4">
        <v>1.4950399999999999E-2</v>
      </c>
      <c r="G13" s="4">
        <v>1.49766E-2</v>
      </c>
      <c r="H13" s="4">
        <v>1E-3</v>
      </c>
      <c r="I13" s="4">
        <v>-0.02</v>
      </c>
      <c r="J13" s="4">
        <v>1.55E-2</v>
      </c>
      <c r="K13" s="4">
        <v>1.9650000000000001E-2</v>
      </c>
      <c r="L13" s="4">
        <v>2.52E-2</v>
      </c>
      <c r="M13" s="4">
        <f>L13-K13</f>
        <v>5.5499999999999994E-3</v>
      </c>
      <c r="N13" s="4">
        <f>K13-J13</f>
        <v>4.1500000000000009E-3</v>
      </c>
      <c r="O13" s="4">
        <f>L13-J13</f>
        <v>9.7000000000000003E-3</v>
      </c>
    </row>
    <row r="14" spans="1:15" x14ac:dyDescent="0.25">
      <c r="A14" s="3">
        <v>42370</v>
      </c>
      <c r="B14">
        <v>17628999</v>
      </c>
      <c r="C14" t="s">
        <v>105</v>
      </c>
      <c r="D14" t="s">
        <v>176</v>
      </c>
      <c r="E14" s="4">
        <v>1.49389E-2</v>
      </c>
      <c r="F14" s="4">
        <v>1.4952500000000001E-2</v>
      </c>
      <c r="G14" s="4">
        <v>1.4978100000000001E-2</v>
      </c>
      <c r="H14" s="4">
        <v>1.3300000000000001E-2</v>
      </c>
      <c r="I14" s="4">
        <v>5.0000000000000001E-4</v>
      </c>
      <c r="J14" s="4">
        <v>1.4800000000000001E-2</v>
      </c>
      <c r="K14" s="4">
        <v>1.7250000000000001E-2</v>
      </c>
      <c r="L14" s="4">
        <v>2.3399999999999997E-2</v>
      </c>
      <c r="M14" s="4">
        <f>L14-K14</f>
        <v>6.1499999999999957E-3</v>
      </c>
      <c r="N14" s="4">
        <f>K14-J14</f>
        <v>2.4500000000000008E-3</v>
      </c>
      <c r="O14" s="4">
        <f>L14-J14</f>
        <v>8.5999999999999965E-3</v>
      </c>
    </row>
    <row r="15" spans="1:15" x14ac:dyDescent="0.25">
      <c r="A15" s="3">
        <v>42370</v>
      </c>
      <c r="B15">
        <v>17628999</v>
      </c>
      <c r="C15" t="s">
        <v>106</v>
      </c>
      <c r="D15" t="s">
        <v>177</v>
      </c>
      <c r="E15" s="4">
        <v>1.49389E-2</v>
      </c>
      <c r="F15" s="4">
        <v>1.4952500000000001E-2</v>
      </c>
      <c r="G15" s="4">
        <v>1.4978100000000001E-2</v>
      </c>
      <c r="H15" s="4">
        <v>1.3300000000000001E-2</v>
      </c>
      <c r="I15" s="4">
        <v>5.0000000000000001E-4</v>
      </c>
      <c r="J15" s="4">
        <v>1.5100000000000001E-2</v>
      </c>
      <c r="K15" s="4">
        <v>1.61E-2</v>
      </c>
      <c r="L15" s="4">
        <v>2.12E-2</v>
      </c>
      <c r="M15" s="4">
        <f>L15-K15</f>
        <v>5.1000000000000004E-3</v>
      </c>
      <c r="N15" s="4">
        <f>K15-J15</f>
        <v>9.9999999999999915E-4</v>
      </c>
      <c r="O15" s="4">
        <f>L15-J15</f>
        <v>6.0999999999999995E-3</v>
      </c>
    </row>
    <row r="16" spans="1:15" x14ac:dyDescent="0.25">
      <c r="A16" s="3">
        <v>42430</v>
      </c>
      <c r="B16">
        <v>17821574</v>
      </c>
      <c r="C16" t="s">
        <v>104</v>
      </c>
      <c r="D16" t="s">
        <v>152</v>
      </c>
      <c r="E16" s="4">
        <v>1.4944299999999999E-2</v>
      </c>
      <c r="F16" s="4">
        <v>1.49601E-2</v>
      </c>
      <c r="G16" s="4">
        <v>1.4983100000000001E-2</v>
      </c>
      <c r="H16" s="4">
        <v>-1.6200000000000003E-2</v>
      </c>
      <c r="I16" s="4">
        <v>-2.5499999999999998E-2</v>
      </c>
      <c r="J16" s="4">
        <v>1.3650000000000001E-2</v>
      </c>
      <c r="K16" s="4">
        <v>1.46E-2</v>
      </c>
      <c r="L16" s="4">
        <v>1.7299999999999999E-2</v>
      </c>
      <c r="M16" s="4">
        <f>L16-K16</f>
        <v>2.6999999999999993E-3</v>
      </c>
      <c r="N16" s="4">
        <f>K16-J16</f>
        <v>9.4999999999999946E-4</v>
      </c>
      <c r="O16" s="4">
        <f>L16-J16</f>
        <v>3.6499999999999987E-3</v>
      </c>
    </row>
    <row r="17" spans="1:15" x14ac:dyDescent="0.25">
      <c r="A17" s="3">
        <v>42430</v>
      </c>
      <c r="B17">
        <v>17821574</v>
      </c>
      <c r="C17" t="s">
        <v>58</v>
      </c>
      <c r="D17" t="s">
        <v>175</v>
      </c>
      <c r="E17" s="4">
        <v>1.4944299999999999E-2</v>
      </c>
      <c r="F17" s="4">
        <v>1.49601E-2</v>
      </c>
      <c r="G17" s="4">
        <v>1.4983100000000001E-2</v>
      </c>
      <c r="H17" s="4">
        <v>-1.6200000000000003E-2</v>
      </c>
      <c r="I17" s="4">
        <v>-2.5499999999999998E-2</v>
      </c>
      <c r="J17" s="4">
        <v>1.5100000000000001E-2</v>
      </c>
      <c r="K17" s="4">
        <v>1.5349999999999999E-2</v>
      </c>
      <c r="L17" s="4">
        <v>1.84E-2</v>
      </c>
      <c r="M17" s="4">
        <f>L17-K17</f>
        <v>3.0500000000000006E-3</v>
      </c>
      <c r="N17" s="4">
        <f>K17-J17</f>
        <v>2.4999999999999849E-4</v>
      </c>
      <c r="O17" s="4">
        <f>L17-J17</f>
        <v>3.2999999999999991E-3</v>
      </c>
    </row>
    <row r="18" spans="1:15" x14ac:dyDescent="0.25">
      <c r="A18" s="3">
        <v>42491</v>
      </c>
      <c r="B18">
        <v>17825307</v>
      </c>
      <c r="C18" t="s">
        <v>103</v>
      </c>
      <c r="D18" t="s">
        <v>114</v>
      </c>
      <c r="E18" s="4">
        <v>1.4931300000000002E-2</v>
      </c>
      <c r="F18" s="4">
        <v>1.49566E-2</v>
      </c>
      <c r="G18" s="4">
        <v>1.4985099999999999E-2</v>
      </c>
      <c r="H18" s="4">
        <v>1.54E-2</v>
      </c>
      <c r="I18" s="4">
        <v>8.0000000000000002E-3</v>
      </c>
      <c r="J18" s="4">
        <v>1.6899999999999998E-2</v>
      </c>
      <c r="K18" s="4">
        <v>1.9400000000000001E-2</v>
      </c>
      <c r="L18" s="4">
        <v>2.3399999999999997E-2</v>
      </c>
      <c r="M18" s="4">
        <f>L18-K18</f>
        <v>3.9999999999999966E-3</v>
      </c>
      <c r="N18" s="4">
        <f>K18-J18</f>
        <v>2.5000000000000022E-3</v>
      </c>
      <c r="O18" s="4">
        <f>L18-J18</f>
        <v>6.4999999999999988E-3</v>
      </c>
    </row>
    <row r="19" spans="1:15" x14ac:dyDescent="0.25">
      <c r="A19" s="3">
        <v>42522</v>
      </c>
      <c r="B19">
        <v>17838170</v>
      </c>
      <c r="C19" t="s">
        <v>102</v>
      </c>
      <c r="D19" t="s">
        <v>16</v>
      </c>
      <c r="E19" s="4">
        <v>1.49216E-2</v>
      </c>
      <c r="F19" s="4">
        <v>1.4950300000000001E-2</v>
      </c>
      <c r="G19" s="4">
        <v>1.49832E-2</v>
      </c>
      <c r="H19" s="4">
        <v>2.6000000000000002E-2</v>
      </c>
      <c r="I19" s="4">
        <v>1.8500000000000003E-2</v>
      </c>
      <c r="J19" s="4">
        <v>1.46E-2</v>
      </c>
      <c r="K19" s="4">
        <v>1.6500000000000001E-2</v>
      </c>
      <c r="L19" s="4">
        <v>1.9799999999999998E-2</v>
      </c>
      <c r="M19" s="4">
        <f>L19-K19</f>
        <v>3.2999999999999974E-3</v>
      </c>
      <c r="N19" s="4">
        <f>K19-J19</f>
        <v>1.9000000000000006E-3</v>
      </c>
      <c r="O19" s="4">
        <f>L19-J19</f>
        <v>5.199999999999998E-3</v>
      </c>
    </row>
    <row r="20" spans="1:15" x14ac:dyDescent="0.25">
      <c r="A20" s="3">
        <v>42552</v>
      </c>
      <c r="B20">
        <v>17800827</v>
      </c>
      <c r="C20" t="s">
        <v>101</v>
      </c>
      <c r="D20" t="s">
        <v>49</v>
      </c>
      <c r="E20" s="4">
        <v>1.4949499999999999E-2</v>
      </c>
      <c r="F20" s="4">
        <v>1.4955000000000001E-2</v>
      </c>
      <c r="G20" s="4">
        <v>1.4985500000000001E-2</v>
      </c>
      <c r="H20" s="4">
        <v>8.0000000000000002E-3</v>
      </c>
      <c r="I20" s="4">
        <v>0.02</v>
      </c>
      <c r="J20" s="4">
        <v>1.4499999999999999E-2</v>
      </c>
      <c r="K20" s="4">
        <v>1.66E-2</v>
      </c>
      <c r="L20" s="4">
        <v>2.0899999999999998E-2</v>
      </c>
      <c r="M20" s="4">
        <f>L20-K20</f>
        <v>4.2999999999999983E-3</v>
      </c>
      <c r="N20" s="4">
        <f>K20-J20</f>
        <v>2.1000000000000012E-3</v>
      </c>
      <c r="O20" s="4">
        <f>L20-J20</f>
        <v>6.3999999999999994E-3</v>
      </c>
    </row>
    <row r="21" spans="1:15" x14ac:dyDescent="0.25">
      <c r="A21" s="3">
        <v>42552</v>
      </c>
      <c r="B21">
        <v>17800827</v>
      </c>
      <c r="C21" t="s">
        <v>25</v>
      </c>
      <c r="D21" t="s">
        <v>174</v>
      </c>
      <c r="E21" s="4">
        <v>1.4949499999999999E-2</v>
      </c>
      <c r="F21" s="4">
        <v>1.4955000000000001E-2</v>
      </c>
      <c r="G21" s="4">
        <v>1.4985500000000001E-2</v>
      </c>
      <c r="H21" s="4">
        <v>8.0000000000000002E-3</v>
      </c>
      <c r="I21" s="4">
        <v>0.02</v>
      </c>
      <c r="J21" s="4">
        <v>1.5300000000000001E-2</v>
      </c>
      <c r="K21" s="4">
        <v>1.77E-2</v>
      </c>
      <c r="L21" s="4">
        <v>2.2099999999999998E-2</v>
      </c>
      <c r="M21" s="4">
        <f>L21-K21</f>
        <v>4.3999999999999977E-3</v>
      </c>
      <c r="N21" s="4">
        <f>K21-J21</f>
        <v>2.3999999999999994E-3</v>
      </c>
      <c r="O21" s="4">
        <f>L21-J21</f>
        <v>6.799999999999997E-3</v>
      </c>
    </row>
    <row r="22" spans="1:15" x14ac:dyDescent="0.25">
      <c r="A22" s="3">
        <v>42583</v>
      </c>
      <c r="B22">
        <v>17772742</v>
      </c>
      <c r="C22" t="s">
        <v>100</v>
      </c>
      <c r="D22" t="s">
        <v>173</v>
      </c>
      <c r="E22" s="4">
        <v>1.4958800000000001E-2</v>
      </c>
      <c r="F22" s="4">
        <v>1.4962E-2</v>
      </c>
      <c r="G22" s="4">
        <v>1.49876E-2</v>
      </c>
      <c r="H22" s="4">
        <v>-5.0999999999999997E-2</v>
      </c>
      <c r="I22" s="4">
        <v>1E-3</v>
      </c>
      <c r="J22" s="4">
        <v>1.52E-2</v>
      </c>
      <c r="K22" s="4">
        <v>1.8799999999999997E-2</v>
      </c>
      <c r="L22" s="4">
        <v>2.1499999999999998E-2</v>
      </c>
      <c r="M22" s="4">
        <f>L22-K22</f>
        <v>2.700000000000001E-3</v>
      </c>
      <c r="N22" s="4">
        <f>K22-J22</f>
        <v>3.5999999999999973E-3</v>
      </c>
      <c r="O22" s="4">
        <f>L22-J22</f>
        <v>6.2999999999999983E-3</v>
      </c>
    </row>
    <row r="23" spans="1:15" x14ac:dyDescent="0.25">
      <c r="A23" s="3">
        <v>42644</v>
      </c>
      <c r="B23">
        <v>17986304</v>
      </c>
      <c r="C23" t="s">
        <v>99</v>
      </c>
      <c r="D23" t="s">
        <v>173</v>
      </c>
      <c r="E23" s="4">
        <v>1.49599E-2</v>
      </c>
      <c r="F23" s="4">
        <v>1.4976E-2</v>
      </c>
      <c r="G23" s="4">
        <v>1.4993300000000001E-2</v>
      </c>
      <c r="H23" s="4">
        <v>6.0000000000000001E-3</v>
      </c>
      <c r="I23" s="4">
        <v>-3.0000000000000001E-3</v>
      </c>
      <c r="J23" s="4">
        <v>1.5700000000000002E-2</v>
      </c>
      <c r="K23" s="4">
        <v>1.95E-2</v>
      </c>
      <c r="L23" s="4">
        <v>2.1400000000000002E-2</v>
      </c>
      <c r="M23" s="4">
        <f>L23-K23</f>
        <v>1.9000000000000024E-3</v>
      </c>
      <c r="N23" s="4">
        <f>K23-J23</f>
        <v>3.7999999999999978E-3</v>
      </c>
      <c r="O23" s="4">
        <f>L23-J23</f>
        <v>5.7000000000000002E-3</v>
      </c>
    </row>
    <row r="24" spans="1:15" x14ac:dyDescent="0.25">
      <c r="A24" s="3">
        <v>42644</v>
      </c>
      <c r="B24">
        <v>17986304</v>
      </c>
      <c r="C24" t="s">
        <v>25</v>
      </c>
      <c r="D24" t="s">
        <v>118</v>
      </c>
      <c r="E24" s="4">
        <v>1.49599E-2</v>
      </c>
      <c r="F24" s="4">
        <v>1.4976E-2</v>
      </c>
      <c r="G24" s="4">
        <v>1.4993300000000001E-2</v>
      </c>
      <c r="H24" s="4">
        <v>6.0000000000000001E-3</v>
      </c>
      <c r="I24" s="4">
        <v>-3.0000000000000001E-3</v>
      </c>
      <c r="J24" s="4">
        <v>1.5100000000000001E-2</v>
      </c>
      <c r="K24" s="4">
        <v>2.1400000000000002E-2</v>
      </c>
      <c r="L24" s="4">
        <v>2.7300000000000001E-2</v>
      </c>
      <c r="M24" s="4">
        <f>L24-K24</f>
        <v>5.899999999999999E-3</v>
      </c>
      <c r="N24" s="4">
        <f>K24-J24</f>
        <v>6.3000000000000018E-3</v>
      </c>
      <c r="O24" s="4">
        <f>L24-J24</f>
        <v>1.2200000000000001E-2</v>
      </c>
    </row>
    <row r="25" spans="1:15" x14ac:dyDescent="0.25">
      <c r="A25" s="3">
        <v>42705</v>
      </c>
      <c r="B25">
        <v>18295749</v>
      </c>
      <c r="C25" t="s">
        <v>98</v>
      </c>
      <c r="D25" t="s">
        <v>172</v>
      </c>
      <c r="E25" s="4">
        <v>1.49669E-2</v>
      </c>
      <c r="F25" s="4">
        <v>1.498E-2</v>
      </c>
      <c r="G25" s="4">
        <v>1.50046E-2</v>
      </c>
      <c r="H25" s="4">
        <v>3.7999999999999999E-2</v>
      </c>
      <c r="I25" s="4">
        <v>2E-3</v>
      </c>
      <c r="J25" s="4">
        <v>1.5800000000000002E-2</v>
      </c>
      <c r="K25" s="4">
        <v>2.2799999999999997E-2</v>
      </c>
      <c r="L25" s="4">
        <v>2.7000000000000003E-2</v>
      </c>
      <c r="M25" s="4">
        <f>L25-K25</f>
        <v>4.2000000000000058E-3</v>
      </c>
      <c r="N25" s="4">
        <f>K25-J25</f>
        <v>6.9999999999999958E-3</v>
      </c>
      <c r="O25" s="4">
        <f>L25-J25</f>
        <v>1.1200000000000002E-2</v>
      </c>
    </row>
    <row r="26" spans="1:15" x14ac:dyDescent="0.25">
      <c r="A26" s="3">
        <v>42736</v>
      </c>
      <c r="B26">
        <v>18345560</v>
      </c>
      <c r="C26" t="s">
        <v>97</v>
      </c>
      <c r="D26" t="s">
        <v>97</v>
      </c>
      <c r="E26" s="4">
        <v>1.49462E-2</v>
      </c>
      <c r="F26" s="4">
        <v>1.49756E-2</v>
      </c>
      <c r="G26" s="4">
        <v>1.5004E-2</v>
      </c>
      <c r="H26" s="4">
        <v>5.4000000000000003E-3</v>
      </c>
      <c r="I26" s="4">
        <v>2.5000000000000001E-2</v>
      </c>
      <c r="J26" s="4">
        <v>1.5700000000000002E-2</v>
      </c>
      <c r="K26" s="4">
        <v>2.265E-2</v>
      </c>
      <c r="L26" s="4">
        <v>2.7549999999999998E-2</v>
      </c>
      <c r="M26" s="4">
        <f>L26-K26</f>
        <v>4.8999999999999981E-3</v>
      </c>
      <c r="N26" s="4">
        <f>K26-J26</f>
        <v>6.9499999999999978E-3</v>
      </c>
      <c r="O26" s="4">
        <f>L26-J26</f>
        <v>1.1849999999999996E-2</v>
      </c>
    </row>
    <row r="27" spans="1:15" x14ac:dyDescent="0.25">
      <c r="A27" s="3">
        <v>42767</v>
      </c>
      <c r="B27">
        <v>18436681</v>
      </c>
      <c r="C27" t="s">
        <v>96</v>
      </c>
      <c r="D27" t="s">
        <v>117</v>
      </c>
      <c r="E27" s="4">
        <v>1.4945600000000002E-2</v>
      </c>
      <c r="F27" s="4">
        <v>1.4971399999999999E-2</v>
      </c>
      <c r="G27" s="4">
        <v>1.5001899999999999E-2</v>
      </c>
      <c r="H27" s="4">
        <v>1.3000000000000001E-2</v>
      </c>
      <c r="I27" s="4">
        <v>3.5000000000000003E-2</v>
      </c>
      <c r="J27" s="4">
        <v>1.61E-2</v>
      </c>
      <c r="K27" s="4">
        <v>2.2000000000000002E-2</v>
      </c>
      <c r="L27" s="4">
        <v>2.69E-2</v>
      </c>
      <c r="M27" s="4">
        <f>L27-K27</f>
        <v>4.8999999999999981E-3</v>
      </c>
      <c r="N27" s="4">
        <f>K27-J27</f>
        <v>5.9000000000000025E-3</v>
      </c>
      <c r="O27" s="4">
        <f>L27-J27</f>
        <v>1.0800000000000001E-2</v>
      </c>
    </row>
    <row r="28" spans="1:15" x14ac:dyDescent="0.25">
      <c r="A28" s="3">
        <v>42795</v>
      </c>
      <c r="B28">
        <v>18414542</v>
      </c>
      <c r="C28" t="s">
        <v>95</v>
      </c>
      <c r="D28" t="s">
        <v>171</v>
      </c>
      <c r="E28" s="4">
        <v>1.4947299999999998E-2</v>
      </c>
      <c r="F28" s="4">
        <v>1.49646E-2</v>
      </c>
      <c r="G28" s="4">
        <v>1.5000100000000001E-2</v>
      </c>
      <c r="H28" s="4">
        <v>-1.4999999999999999E-2</v>
      </c>
      <c r="I28" s="4">
        <v>5.5000000000000005E-3</v>
      </c>
      <c r="J28" s="4">
        <v>1.61E-2</v>
      </c>
      <c r="K28" s="4">
        <v>2.2200000000000001E-2</v>
      </c>
      <c r="L28" s="4">
        <v>2.7200000000000002E-2</v>
      </c>
      <c r="M28" s="4">
        <f>L28-K28</f>
        <v>5.000000000000001E-3</v>
      </c>
      <c r="N28" s="4">
        <f>K28-J28</f>
        <v>6.1000000000000013E-3</v>
      </c>
      <c r="O28" s="4">
        <f>L28-J28</f>
        <v>1.1100000000000002E-2</v>
      </c>
    </row>
    <row r="29" spans="1:15" x14ac:dyDescent="0.25">
      <c r="A29" s="3">
        <v>42826</v>
      </c>
      <c r="B29">
        <v>18553810</v>
      </c>
      <c r="C29" t="s">
        <v>94</v>
      </c>
      <c r="D29" t="s">
        <v>116</v>
      </c>
      <c r="E29" s="4">
        <v>1.49494E-2</v>
      </c>
      <c r="F29" s="4">
        <v>1.49661E-2</v>
      </c>
      <c r="G29" s="4">
        <v>1.4998800000000001E-2</v>
      </c>
      <c r="H29" s="4">
        <v>-5.3E-3</v>
      </c>
      <c r="I29" s="4">
        <v>-1.6500000000000001E-2</v>
      </c>
      <c r="J29" s="4">
        <v>1.5700000000000002E-2</v>
      </c>
      <c r="K29" s="4">
        <v>2.1899999999999999E-2</v>
      </c>
      <c r="L29" s="4">
        <v>2.7400000000000001E-2</v>
      </c>
      <c r="M29" s="4">
        <f>L29-K29</f>
        <v>5.5000000000000014E-3</v>
      </c>
      <c r="N29" s="4">
        <f>K29-J29</f>
        <v>6.1999999999999972E-3</v>
      </c>
      <c r="O29" s="4">
        <f>L29-J29</f>
        <v>1.1699999999999999E-2</v>
      </c>
    </row>
    <row r="30" spans="1:15" x14ac:dyDescent="0.25">
      <c r="A30" s="3">
        <v>42856</v>
      </c>
      <c r="B30">
        <v>18574127</v>
      </c>
      <c r="C30" t="s">
        <v>25</v>
      </c>
      <c r="D30" t="s">
        <v>170</v>
      </c>
      <c r="E30" s="4">
        <v>1.4945099999999999E-2</v>
      </c>
      <c r="F30" s="4">
        <v>1.49658E-2</v>
      </c>
      <c r="G30" s="4">
        <v>1.4996300000000001E-2</v>
      </c>
      <c r="H30" s="4">
        <v>-1.7000000000000001E-2</v>
      </c>
      <c r="I30" s="4">
        <v>-6.0000000000000001E-3</v>
      </c>
      <c r="J30" s="4">
        <v>1.5700000000000002E-2</v>
      </c>
      <c r="K30" s="4">
        <v>2.1400000000000002E-2</v>
      </c>
      <c r="L30" s="4">
        <v>2.6699999999999998E-2</v>
      </c>
      <c r="M30" s="4">
        <f>L30-K30</f>
        <v>5.2999999999999957E-3</v>
      </c>
      <c r="N30" s="4">
        <f>K30-J30</f>
        <v>5.7000000000000002E-3</v>
      </c>
      <c r="O30" s="4">
        <f>L30-J30</f>
        <v>1.0999999999999996E-2</v>
      </c>
    </row>
    <row r="31" spans="1:15" x14ac:dyDescent="0.25">
      <c r="A31" s="3">
        <v>42887</v>
      </c>
      <c r="B31">
        <v>18617776</v>
      </c>
      <c r="C31" t="s">
        <v>93</v>
      </c>
      <c r="D31" t="s">
        <v>91</v>
      </c>
      <c r="E31" s="4">
        <v>1.4955899999999999E-2</v>
      </c>
      <c r="F31" s="4">
        <v>1.4969399999999999E-2</v>
      </c>
      <c r="G31" s="4">
        <v>1.49949E-2</v>
      </c>
      <c r="H31" s="4">
        <v>1.3999999999999999E-2</v>
      </c>
      <c r="I31" s="4">
        <v>-2E-3</v>
      </c>
      <c r="J31" s="4">
        <v>1.5700000000000002E-2</v>
      </c>
      <c r="K31" s="4">
        <v>1.9699999999999999E-2</v>
      </c>
      <c r="L31" s="4">
        <v>2.5099999999999997E-2</v>
      </c>
      <c r="M31" s="4">
        <f>L31-K31</f>
        <v>5.3999999999999986E-3</v>
      </c>
      <c r="N31" s="4">
        <f>K31-J31</f>
        <v>3.9999999999999966E-3</v>
      </c>
      <c r="O31" s="4">
        <f>L31-J31</f>
        <v>9.3999999999999952E-3</v>
      </c>
    </row>
    <row r="32" spans="1:15" x14ac:dyDescent="0.25">
      <c r="A32" s="3">
        <v>42917</v>
      </c>
      <c r="B32">
        <v>18590428</v>
      </c>
      <c r="C32" t="s">
        <v>92</v>
      </c>
      <c r="D32" t="s">
        <v>114</v>
      </c>
      <c r="E32" s="4">
        <v>1.4953399999999999E-2</v>
      </c>
      <c r="F32" s="4">
        <v>1.4970300000000001E-2</v>
      </c>
      <c r="G32" s="4">
        <v>1.4995799999999998E-2</v>
      </c>
      <c r="H32" s="4">
        <v>-1.6000000000000001E-3</v>
      </c>
      <c r="I32" s="4">
        <v>1.2E-2</v>
      </c>
      <c r="J32" s="4">
        <v>1.5100000000000001E-2</v>
      </c>
      <c r="K32" s="4">
        <v>1.89E-2</v>
      </c>
      <c r="L32" s="4">
        <v>2.4900000000000002E-2</v>
      </c>
      <c r="M32" s="4">
        <f>L32-K32</f>
        <v>6.0000000000000019E-3</v>
      </c>
      <c r="N32" s="4">
        <f>K32-J32</f>
        <v>3.7999999999999996E-3</v>
      </c>
      <c r="O32" s="4">
        <f>L32-J32</f>
        <v>9.8000000000000014E-3</v>
      </c>
    </row>
    <row r="33" spans="1:15" x14ac:dyDescent="0.25">
      <c r="A33" s="3">
        <v>42948</v>
      </c>
      <c r="B33">
        <v>18609457</v>
      </c>
      <c r="C33" t="s">
        <v>91</v>
      </c>
      <c r="D33" t="s">
        <v>68</v>
      </c>
      <c r="E33" s="4">
        <v>1.4934099999999999E-2</v>
      </c>
      <c r="F33" s="4">
        <v>1.4966800000000001E-2</v>
      </c>
      <c r="G33" s="4">
        <v>1.4994199999999999E-2</v>
      </c>
      <c r="H33" s="4">
        <v>3.73E-2</v>
      </c>
      <c r="I33" s="4">
        <v>3.15E-2</v>
      </c>
      <c r="J33" s="4">
        <v>1.4999999999999999E-2</v>
      </c>
      <c r="K33" s="4">
        <v>1.8100000000000002E-2</v>
      </c>
      <c r="L33" s="4">
        <v>2.35E-2</v>
      </c>
      <c r="M33" s="4">
        <f>L33-K33</f>
        <v>5.3999999999999986E-3</v>
      </c>
      <c r="N33" s="4">
        <f>K33-J33</f>
        <v>3.1000000000000021E-3</v>
      </c>
      <c r="O33" s="4">
        <f>L33-J33</f>
        <v>8.5000000000000006E-3</v>
      </c>
    </row>
    <row r="34" spans="1:15" x14ac:dyDescent="0.25">
      <c r="A34" s="3">
        <v>42979</v>
      </c>
      <c r="B34">
        <v>18622205</v>
      </c>
      <c r="C34" t="s">
        <v>70</v>
      </c>
      <c r="D34" t="s">
        <v>25</v>
      </c>
      <c r="E34" s="4">
        <v>1.49549E-2</v>
      </c>
      <c r="F34" s="4">
        <v>1.4966699999999999E-2</v>
      </c>
      <c r="G34" s="4">
        <v>1.4996300000000001E-2</v>
      </c>
      <c r="H34" s="4">
        <v>3.7400000000000003E-2</v>
      </c>
      <c r="I34" s="4">
        <v>2.7999999999999997E-2</v>
      </c>
      <c r="J34" s="4">
        <v>1.4800000000000001E-2</v>
      </c>
      <c r="K34" s="4">
        <v>1.7600000000000001E-2</v>
      </c>
      <c r="L34" s="4">
        <v>2.3199999999999998E-2</v>
      </c>
      <c r="M34" s="4">
        <f>L34-K34</f>
        <v>5.5999999999999973E-3</v>
      </c>
      <c r="N34" s="4">
        <f>K34-J34</f>
        <v>2.8000000000000004E-3</v>
      </c>
      <c r="O34" s="4">
        <f>L34-J34</f>
        <v>8.3999999999999977E-3</v>
      </c>
    </row>
    <row r="35" spans="1:15" x14ac:dyDescent="0.25">
      <c r="A35" s="3">
        <v>43009</v>
      </c>
      <c r="B35">
        <v>18749249</v>
      </c>
      <c r="C35" t="s">
        <v>90</v>
      </c>
      <c r="D35" t="s">
        <v>49</v>
      </c>
      <c r="E35" s="4">
        <v>1.4939599999999999E-2</v>
      </c>
      <c r="F35" s="4">
        <v>1.4961599999999999E-2</v>
      </c>
      <c r="G35" s="4">
        <v>1.4993899999999999E-2</v>
      </c>
      <c r="H35" s="4">
        <v>4.2099999999999999E-2</v>
      </c>
      <c r="I35" s="4">
        <v>3.6000000000000004E-2</v>
      </c>
      <c r="J35" s="4">
        <v>1.4199999999999999E-2</v>
      </c>
      <c r="K35" s="4">
        <v>1.8600000000000002E-2</v>
      </c>
      <c r="L35" s="4">
        <v>2.3799999999999998E-2</v>
      </c>
      <c r="M35" s="4">
        <f>L35-K35</f>
        <v>5.1999999999999963E-3</v>
      </c>
      <c r="N35" s="4">
        <f>K35-J35</f>
        <v>4.4000000000000029E-3</v>
      </c>
      <c r="O35" s="4">
        <f>L35-J35</f>
        <v>9.5999999999999992E-3</v>
      </c>
    </row>
    <row r="36" spans="1:15" x14ac:dyDescent="0.25">
      <c r="A36" s="3">
        <v>43040</v>
      </c>
      <c r="B36">
        <v>18942857</v>
      </c>
      <c r="C36" t="s">
        <v>90</v>
      </c>
      <c r="D36" t="s">
        <v>169</v>
      </c>
      <c r="E36" s="4">
        <v>1.4951300000000001E-2</v>
      </c>
      <c r="F36" s="4">
        <v>1.4967299999999999E-2</v>
      </c>
      <c r="G36" s="4">
        <v>1.4995099999999999E-2</v>
      </c>
      <c r="H36" s="4">
        <v>4.7999999999999996E-3</v>
      </c>
      <c r="I36" s="4">
        <v>3.2000000000000001E-2</v>
      </c>
      <c r="J36" s="4">
        <v>1.44E-2</v>
      </c>
      <c r="K36" s="4">
        <v>1.84E-2</v>
      </c>
      <c r="L36" s="4">
        <v>2.3799999999999998E-2</v>
      </c>
      <c r="M36" s="4">
        <f>L36-K36</f>
        <v>5.3999999999999986E-3</v>
      </c>
      <c r="N36" s="4">
        <f>K36-J36</f>
        <v>4.0000000000000001E-3</v>
      </c>
      <c r="O36" s="4">
        <f>L36-J36</f>
        <v>9.3999999999999986E-3</v>
      </c>
    </row>
    <row r="37" spans="1:15" x14ac:dyDescent="0.25">
      <c r="A37" s="3">
        <v>43070</v>
      </c>
      <c r="B37">
        <v>19212873</v>
      </c>
      <c r="C37" t="s">
        <v>89</v>
      </c>
      <c r="D37" t="s">
        <v>120</v>
      </c>
      <c r="E37" s="4">
        <v>1.4943999999999999E-2</v>
      </c>
      <c r="F37" s="4">
        <v>1.4963500000000001E-2</v>
      </c>
      <c r="G37" s="4">
        <v>1.49932E-2</v>
      </c>
      <c r="H37" s="4">
        <v>2.35E-2</v>
      </c>
      <c r="I37" s="4">
        <v>3.5000000000000003E-2</v>
      </c>
      <c r="J37" s="4">
        <v>1.4199999999999999E-2</v>
      </c>
      <c r="K37" s="4">
        <v>1.8799999999999997E-2</v>
      </c>
      <c r="L37" s="4">
        <v>2.3550000000000001E-2</v>
      </c>
      <c r="M37" s="4">
        <f>L37-K37</f>
        <v>4.7500000000000042E-3</v>
      </c>
      <c r="N37" s="4">
        <f>K37-J37</f>
        <v>4.5999999999999982E-3</v>
      </c>
      <c r="O37" s="4">
        <f>L37-J37</f>
        <v>9.3500000000000024E-3</v>
      </c>
    </row>
    <row r="38" spans="1:15" x14ac:dyDescent="0.25">
      <c r="A38" s="3">
        <v>43101</v>
      </c>
      <c r="B38">
        <v>19277817</v>
      </c>
      <c r="C38" t="s">
        <v>88</v>
      </c>
      <c r="D38" t="s">
        <v>89</v>
      </c>
      <c r="E38" s="4">
        <v>1.4921800000000001E-2</v>
      </c>
      <c r="F38" s="4">
        <v>1.4957400000000001E-2</v>
      </c>
      <c r="G38" s="4">
        <v>1.49877E-2</v>
      </c>
      <c r="H38" s="4">
        <v>3.44E-2</v>
      </c>
      <c r="I38" s="4">
        <v>0.03</v>
      </c>
      <c r="J38" s="4">
        <v>1.3899999999999999E-2</v>
      </c>
      <c r="K38" s="4">
        <v>1.8200000000000001E-2</v>
      </c>
      <c r="L38" s="4">
        <v>2.3700000000000002E-2</v>
      </c>
      <c r="M38" s="4">
        <f>L38-K38</f>
        <v>5.5000000000000014E-3</v>
      </c>
      <c r="N38" s="4">
        <f>K38-J38</f>
        <v>4.3000000000000017E-3</v>
      </c>
      <c r="O38" s="4">
        <f>L38-J38</f>
        <v>9.8000000000000032E-3</v>
      </c>
    </row>
    <row r="39" spans="1:15" x14ac:dyDescent="0.25">
      <c r="A39" s="3">
        <v>43132</v>
      </c>
      <c r="B39">
        <v>19354026</v>
      </c>
      <c r="C39" t="s">
        <v>87</v>
      </c>
      <c r="D39" t="s">
        <v>127</v>
      </c>
      <c r="E39" s="4">
        <v>1.49417E-2</v>
      </c>
      <c r="F39" s="4">
        <v>1.49541E-2</v>
      </c>
      <c r="G39" s="4">
        <v>1.4988900000000001E-2</v>
      </c>
      <c r="H39" s="4">
        <v>4.6600000000000003E-2</v>
      </c>
      <c r="I39" s="4">
        <v>3.9E-2</v>
      </c>
      <c r="J39" s="4">
        <v>1.3600000000000001E-2</v>
      </c>
      <c r="K39" s="4">
        <v>1.865E-2</v>
      </c>
      <c r="L39" s="4">
        <v>2.4249999999999997E-2</v>
      </c>
      <c r="M39" s="4">
        <f>L39-K39</f>
        <v>5.5999999999999973E-3</v>
      </c>
      <c r="N39" s="4">
        <f>K39-J39</f>
        <v>5.0499999999999989E-3</v>
      </c>
      <c r="O39" s="4">
        <f>L39-J39</f>
        <v>1.0649999999999996E-2</v>
      </c>
    </row>
    <row r="40" spans="1:15" x14ac:dyDescent="0.25">
      <c r="A40" s="3">
        <v>43160</v>
      </c>
      <c r="B40">
        <v>19549464</v>
      </c>
      <c r="C40" t="s">
        <v>86</v>
      </c>
      <c r="D40" t="s">
        <v>168</v>
      </c>
      <c r="E40" s="4">
        <v>1.4933499999999999E-2</v>
      </c>
      <c r="F40" s="4">
        <v>1.49505E-2</v>
      </c>
      <c r="G40" s="4">
        <v>1.4984900000000001E-2</v>
      </c>
      <c r="H40" s="4">
        <v>2.6200000000000001E-2</v>
      </c>
      <c r="I40" s="4">
        <v>3.7999999999999999E-2</v>
      </c>
      <c r="J40" s="4">
        <v>1.3500000000000002E-2</v>
      </c>
      <c r="K40" s="4">
        <v>1.8249999999999999E-2</v>
      </c>
      <c r="L40" s="4">
        <v>2.4399999999999998E-2</v>
      </c>
      <c r="M40" s="4">
        <f>L40-K40</f>
        <v>6.1499999999999992E-3</v>
      </c>
      <c r="N40" s="4">
        <f>K40-J40</f>
        <v>4.7499999999999973E-3</v>
      </c>
      <c r="O40" s="4">
        <f>L40-J40</f>
        <v>1.0899999999999996E-2</v>
      </c>
    </row>
    <row r="41" spans="1:15" x14ac:dyDescent="0.25">
      <c r="A41" s="3">
        <v>43191</v>
      </c>
      <c r="B41">
        <v>19569290</v>
      </c>
      <c r="C41" t="s">
        <v>85</v>
      </c>
      <c r="D41" t="s">
        <v>161</v>
      </c>
      <c r="E41" s="4">
        <v>1.49003E-2</v>
      </c>
      <c r="F41" s="4">
        <v>1.4942800000000001E-2</v>
      </c>
      <c r="G41" s="4">
        <v>1.4978100000000001E-2</v>
      </c>
      <c r="H41" s="4">
        <v>3.9900000000000005E-2</v>
      </c>
      <c r="I41" s="4">
        <v>3.9399999999999998E-2</v>
      </c>
      <c r="J41" s="4">
        <v>1.4999999999999999E-2</v>
      </c>
      <c r="K41" s="4">
        <v>1.9099999999999999E-2</v>
      </c>
      <c r="L41" s="4">
        <v>2.4700000000000003E-2</v>
      </c>
      <c r="M41" s="4">
        <f>L41-K41</f>
        <v>5.6000000000000043E-3</v>
      </c>
      <c r="N41" s="4">
        <f>K41-J41</f>
        <v>4.0999999999999995E-3</v>
      </c>
      <c r="O41" s="4">
        <f>L41-J41</f>
        <v>9.7000000000000038E-3</v>
      </c>
    </row>
    <row r="42" spans="1:15" x14ac:dyDescent="0.25">
      <c r="A42" s="3">
        <v>43221</v>
      </c>
      <c r="B42">
        <v>19563179</v>
      </c>
      <c r="C42" t="s">
        <v>84</v>
      </c>
      <c r="D42" t="s">
        <v>67</v>
      </c>
      <c r="E42" s="4">
        <v>1.4923599999999999E-2</v>
      </c>
      <c r="F42" s="4">
        <v>1.4936700000000001E-2</v>
      </c>
      <c r="G42" s="4">
        <v>1.49731E-2</v>
      </c>
      <c r="H42" s="4">
        <v>3.2000000000000001E-2</v>
      </c>
      <c r="I42" s="4">
        <v>3.5000000000000003E-2</v>
      </c>
      <c r="J42" s="4">
        <v>1.7000000000000001E-2</v>
      </c>
      <c r="K42" s="4">
        <v>2.1000000000000001E-2</v>
      </c>
      <c r="L42" s="4">
        <v>2.6499999999999999E-2</v>
      </c>
      <c r="M42" s="4">
        <f>L42-K42</f>
        <v>5.4999999999999979E-3</v>
      </c>
      <c r="N42" s="4">
        <f>K42-J42</f>
        <v>4.0000000000000001E-3</v>
      </c>
      <c r="O42" s="4">
        <f>L42-J42</f>
        <v>9.499999999999998E-3</v>
      </c>
    </row>
    <row r="43" spans="1:15" x14ac:dyDescent="0.25">
      <c r="A43" s="3">
        <v>43252</v>
      </c>
      <c r="B43">
        <v>19571115</v>
      </c>
      <c r="C43" t="s">
        <v>83</v>
      </c>
      <c r="D43" t="s">
        <v>127</v>
      </c>
      <c r="E43" s="4">
        <v>1.4937800000000001E-2</v>
      </c>
      <c r="F43" s="4">
        <v>1.49389E-2</v>
      </c>
      <c r="G43" s="4">
        <v>1.49725E-2</v>
      </c>
      <c r="H43" s="4">
        <v>4.7E-2</v>
      </c>
      <c r="I43" s="4">
        <v>0.03</v>
      </c>
      <c r="J43" s="4">
        <v>1.6E-2</v>
      </c>
      <c r="K43" s="4">
        <v>2.085E-2</v>
      </c>
      <c r="L43" s="4">
        <v>2.6200000000000001E-2</v>
      </c>
      <c r="M43" s="4">
        <f>L43-K43</f>
        <v>5.3500000000000006E-3</v>
      </c>
      <c r="N43" s="4">
        <f>K43-J43</f>
        <v>4.8500000000000001E-3</v>
      </c>
      <c r="O43" s="4">
        <f>L43-J43</f>
        <v>1.0200000000000001E-2</v>
      </c>
    </row>
    <row r="44" spans="1:15" x14ac:dyDescent="0.25">
      <c r="A44" s="3">
        <v>43282</v>
      </c>
      <c r="B44">
        <v>19515727</v>
      </c>
      <c r="C44" t="s">
        <v>82</v>
      </c>
      <c r="D44" t="s">
        <v>15</v>
      </c>
      <c r="E44" s="4">
        <v>1.49424E-2</v>
      </c>
      <c r="F44" s="4">
        <v>1.49532E-2</v>
      </c>
      <c r="G44" s="4">
        <v>1.49756E-2</v>
      </c>
      <c r="H44" s="4">
        <v>4.5999999999999999E-2</v>
      </c>
      <c r="I44" s="4">
        <v>4.24E-2</v>
      </c>
      <c r="J44" s="4">
        <v>1.55E-2</v>
      </c>
      <c r="K44" s="4">
        <v>2.145E-2</v>
      </c>
      <c r="L44" s="4">
        <v>2.5950000000000001E-2</v>
      </c>
      <c r="M44" s="4">
        <f>L44-K44</f>
        <v>4.5000000000000005E-3</v>
      </c>
      <c r="N44" s="4">
        <f>K44-J44</f>
        <v>5.9500000000000004E-3</v>
      </c>
      <c r="O44" s="4">
        <f>L44-J44</f>
        <v>1.0450000000000001E-2</v>
      </c>
    </row>
    <row r="45" spans="1:15" x14ac:dyDescent="0.25">
      <c r="A45" s="3">
        <v>43313</v>
      </c>
      <c r="B45">
        <v>19457487</v>
      </c>
      <c r="C45" t="s">
        <v>81</v>
      </c>
      <c r="D45" t="s">
        <v>81</v>
      </c>
      <c r="E45" s="4">
        <v>1.4945900000000002E-2</v>
      </c>
      <c r="F45" s="4">
        <v>1.4960599999999999E-2</v>
      </c>
      <c r="G45" s="4">
        <v>1.49766E-2</v>
      </c>
      <c r="H45" s="4">
        <v>6.9999999999999993E-3</v>
      </c>
      <c r="I45" s="4">
        <v>3.1E-2</v>
      </c>
      <c r="J45" s="4">
        <v>1.6799999999999999E-2</v>
      </c>
      <c r="K45" s="4">
        <v>2.2499999999999999E-2</v>
      </c>
      <c r="L45" s="4">
        <v>2.6499999999999999E-2</v>
      </c>
      <c r="M45" s="4">
        <f>L45-K45</f>
        <v>4.0000000000000001E-3</v>
      </c>
      <c r="N45" s="4">
        <f>K45-J45</f>
        <v>5.7000000000000002E-3</v>
      </c>
      <c r="O45" s="4">
        <f>L45-J45</f>
        <v>9.7000000000000003E-3</v>
      </c>
    </row>
    <row r="46" spans="1:15" x14ac:dyDescent="0.25">
      <c r="A46" s="3">
        <v>43344</v>
      </c>
      <c r="B46">
        <v>19518512</v>
      </c>
      <c r="C46" t="s">
        <v>80</v>
      </c>
      <c r="D46" t="s">
        <v>15</v>
      </c>
      <c r="E46" s="4">
        <v>1.4931700000000001E-2</v>
      </c>
      <c r="F46" s="4">
        <v>1.4959E-2</v>
      </c>
      <c r="G46" s="4">
        <v>1.49774E-2</v>
      </c>
      <c r="H46" s="4">
        <v>-2.6000000000000002E-2</v>
      </c>
      <c r="I46" s="4">
        <v>-5.0000000000000001E-3</v>
      </c>
      <c r="J46" s="4">
        <v>1.6799999999999999E-2</v>
      </c>
      <c r="K46" s="4">
        <v>2.2799999999999997E-2</v>
      </c>
      <c r="L46" s="4">
        <v>2.6800000000000001E-2</v>
      </c>
      <c r="M46" s="4">
        <f>L46-K46</f>
        <v>4.0000000000000036E-3</v>
      </c>
      <c r="N46" s="4">
        <f>K46-J46</f>
        <v>5.9999999999999984E-3</v>
      </c>
      <c r="O46" s="4">
        <f>L46-J46</f>
        <v>1.0000000000000002E-2</v>
      </c>
    </row>
    <row r="47" spans="1:15" x14ac:dyDescent="0.25">
      <c r="A47" s="3">
        <v>43374</v>
      </c>
      <c r="B47">
        <v>19733639</v>
      </c>
      <c r="C47" t="s">
        <v>79</v>
      </c>
      <c r="D47" t="s">
        <v>116</v>
      </c>
      <c r="E47" s="4">
        <v>1.4930199999999999E-2</v>
      </c>
      <c r="F47" s="4">
        <v>1.4954499999999999E-2</v>
      </c>
      <c r="G47" s="4">
        <v>1.4981700000000001E-2</v>
      </c>
      <c r="H47" s="4">
        <v>4.0800000000000003E-2</v>
      </c>
      <c r="I47" s="4">
        <v>2.7999999999999997E-2</v>
      </c>
      <c r="J47" s="4">
        <v>1.8100000000000002E-2</v>
      </c>
      <c r="K47" s="4">
        <v>2.3700000000000002E-2</v>
      </c>
      <c r="L47" s="4">
        <v>2.7799999999999998E-2</v>
      </c>
      <c r="M47" s="4">
        <f>L47-K47</f>
        <v>4.099999999999996E-3</v>
      </c>
      <c r="N47" s="4">
        <f>K47-J47</f>
        <v>5.6000000000000008E-3</v>
      </c>
      <c r="O47" s="4">
        <f>L47-J47</f>
        <v>9.6999999999999968E-3</v>
      </c>
    </row>
    <row r="48" spans="1:15" x14ac:dyDescent="0.25">
      <c r="A48" s="3">
        <v>43405</v>
      </c>
      <c r="B48">
        <v>19840154</v>
      </c>
      <c r="C48" t="s">
        <v>11</v>
      </c>
      <c r="D48" t="s">
        <v>116</v>
      </c>
      <c r="E48" s="4">
        <v>1.49418E-2</v>
      </c>
      <c r="F48" s="4">
        <v>1.4953399999999999E-2</v>
      </c>
      <c r="G48" s="4">
        <v>1.4985E-2</v>
      </c>
      <c r="H48" s="4">
        <v>9.7999999999999997E-3</v>
      </c>
      <c r="I48" s="4">
        <v>1.4999999999999999E-2</v>
      </c>
      <c r="J48" s="4">
        <v>1.6399999999999998E-2</v>
      </c>
      <c r="K48" s="4">
        <v>2.2099999999999998E-2</v>
      </c>
      <c r="L48" s="4">
        <v>2.64E-2</v>
      </c>
      <c r="M48" s="4">
        <f>L48-K48</f>
        <v>4.3000000000000017E-3</v>
      </c>
      <c r="N48" s="4">
        <f>K48-J48</f>
        <v>5.7000000000000002E-3</v>
      </c>
      <c r="O48" s="4">
        <f>L48-J48</f>
        <v>1.0000000000000002E-2</v>
      </c>
    </row>
    <row r="49" spans="1:15" x14ac:dyDescent="0.25">
      <c r="A49" s="3">
        <v>43435</v>
      </c>
      <c r="B49">
        <v>20109643</v>
      </c>
      <c r="C49" t="s">
        <v>78</v>
      </c>
      <c r="D49" t="s">
        <v>120</v>
      </c>
      <c r="E49" s="4">
        <v>1.4939000000000001E-2</v>
      </c>
      <c r="F49" s="4">
        <v>1.4955899999999999E-2</v>
      </c>
      <c r="G49" s="4">
        <v>1.4985800000000001E-2</v>
      </c>
      <c r="H49" s="4">
        <v>7.4999999999999997E-3</v>
      </c>
      <c r="I49" s="4">
        <v>1.4999999999999999E-2</v>
      </c>
      <c r="J49" s="4">
        <v>1.6799999999999999E-2</v>
      </c>
      <c r="K49" s="4">
        <v>2.1099999999999997E-2</v>
      </c>
      <c r="L49" s="4">
        <v>2.4500000000000001E-2</v>
      </c>
      <c r="M49" s="4">
        <f>L49-K49</f>
        <v>3.4000000000000037E-3</v>
      </c>
      <c r="N49" s="4">
        <f>K49-J49</f>
        <v>4.2999999999999983E-3</v>
      </c>
      <c r="O49" s="4">
        <f>L49-J49</f>
        <v>7.700000000000002E-3</v>
      </c>
    </row>
    <row r="50" spans="1:15" x14ac:dyDescent="0.25">
      <c r="A50" s="3">
        <v>43466</v>
      </c>
      <c r="B50">
        <v>20116050</v>
      </c>
      <c r="C50" t="s">
        <v>77</v>
      </c>
      <c r="D50" t="s">
        <v>10</v>
      </c>
      <c r="E50" s="4">
        <v>1.6110699999999999E-2</v>
      </c>
      <c r="F50" s="4">
        <v>1.53417E-2</v>
      </c>
      <c r="G50" s="4">
        <v>1.51772E-2</v>
      </c>
      <c r="H50" s="4">
        <v>1.8E-3</v>
      </c>
      <c r="I50" s="4">
        <v>1.1000000000000001E-2</v>
      </c>
      <c r="J50" s="4">
        <v>1.8000000000000002E-2</v>
      </c>
      <c r="K50" s="4">
        <v>2.12E-2</v>
      </c>
      <c r="L50" s="4">
        <v>2.4199999999999999E-2</v>
      </c>
      <c r="M50" s="4">
        <f>L50-K50</f>
        <v>2.9999999999999992E-3</v>
      </c>
      <c r="N50" s="4">
        <f>K50-J50</f>
        <v>3.199999999999998E-3</v>
      </c>
      <c r="O50" s="4">
        <f>L50-J50</f>
        <v>6.1999999999999972E-3</v>
      </c>
    </row>
    <row r="51" spans="1:15" x14ac:dyDescent="0.25">
      <c r="A51" s="3">
        <v>43497</v>
      </c>
      <c r="B51">
        <v>20275685</v>
      </c>
      <c r="C51" t="s">
        <v>76</v>
      </c>
      <c r="D51" t="s">
        <v>76</v>
      </c>
      <c r="E51" s="4">
        <v>1.7437100000000001E-2</v>
      </c>
      <c r="F51" s="4">
        <v>1.6157700000000001E-2</v>
      </c>
      <c r="G51" s="4">
        <v>1.5585999999999999E-2</v>
      </c>
      <c r="H51" s="4">
        <v>-1.6E-2</v>
      </c>
      <c r="I51" s="4">
        <v>5.1999999999999998E-3</v>
      </c>
      <c r="J51" s="4">
        <v>1.7399999999999999E-2</v>
      </c>
      <c r="K51" s="4">
        <v>2.2000000000000002E-2</v>
      </c>
      <c r="L51" s="4">
        <v>2.4900000000000002E-2</v>
      </c>
      <c r="M51" s="4">
        <f>L51-K51</f>
        <v>2.8999999999999998E-3</v>
      </c>
      <c r="N51" s="4">
        <f>K51-J51</f>
        <v>4.6000000000000034E-3</v>
      </c>
      <c r="O51" s="4">
        <f>L51-J51</f>
        <v>7.5000000000000032E-3</v>
      </c>
    </row>
    <row r="52" spans="1:15" x14ac:dyDescent="0.25">
      <c r="A52" s="3">
        <v>43525</v>
      </c>
      <c r="B52">
        <v>20288970</v>
      </c>
      <c r="C52" t="s">
        <v>75</v>
      </c>
      <c r="D52" t="s">
        <v>167</v>
      </c>
      <c r="E52" s="4">
        <v>1.7426399999999998E-2</v>
      </c>
      <c r="F52" s="4">
        <v>1.7004699999999998E-2</v>
      </c>
      <c r="G52" s="4">
        <v>1.5994299999999999E-2</v>
      </c>
      <c r="H52" s="4">
        <v>-2.5399999999999999E-2</v>
      </c>
      <c r="I52" s="4">
        <v>-2.7000000000000003E-2</v>
      </c>
      <c r="J52" s="4">
        <v>1.7950000000000001E-2</v>
      </c>
      <c r="K52" s="4">
        <v>2.1150000000000002E-2</v>
      </c>
      <c r="L52" s="4">
        <v>2.4900000000000002E-2</v>
      </c>
      <c r="M52" s="4">
        <f>L52-K52</f>
        <v>3.7499999999999999E-3</v>
      </c>
      <c r="N52" s="4">
        <f>K52-J52</f>
        <v>3.2000000000000015E-3</v>
      </c>
      <c r="O52" s="4">
        <f>L52-J52</f>
        <v>6.9500000000000013E-3</v>
      </c>
    </row>
    <row r="53" spans="1:15" x14ac:dyDescent="0.25">
      <c r="A53" s="3">
        <v>43556</v>
      </c>
      <c r="B53">
        <v>20378259</v>
      </c>
      <c r="C53" t="s">
        <v>74</v>
      </c>
      <c r="D53" t="s">
        <v>166</v>
      </c>
      <c r="E53" s="4">
        <v>1.7446699999999999E-2</v>
      </c>
      <c r="F53" s="4">
        <v>1.74618E-2</v>
      </c>
      <c r="G53" s="4">
        <v>1.6409899999999998E-2</v>
      </c>
      <c r="H53" s="4">
        <v>2.0299999999999999E-2</v>
      </c>
      <c r="I53" s="4">
        <v>-0.01</v>
      </c>
      <c r="J53" s="4">
        <v>1.78E-2</v>
      </c>
      <c r="K53" s="4">
        <v>2.1099999999999997E-2</v>
      </c>
      <c r="L53" s="4">
        <v>2.4750000000000001E-2</v>
      </c>
      <c r="M53" s="4">
        <f>L53-K53</f>
        <v>3.6500000000000039E-3</v>
      </c>
      <c r="N53" s="4">
        <f>K53-J53</f>
        <v>3.2999999999999974E-3</v>
      </c>
      <c r="O53" s="4">
        <f>L53-J53</f>
        <v>6.9500000000000013E-3</v>
      </c>
    </row>
    <row r="54" spans="1:15" x14ac:dyDescent="0.25">
      <c r="A54" s="3">
        <v>43586</v>
      </c>
      <c r="B54">
        <v>20305324</v>
      </c>
      <c r="C54" t="s">
        <v>11</v>
      </c>
      <c r="D54" t="s">
        <v>165</v>
      </c>
      <c r="E54" s="4">
        <v>1.74348E-2</v>
      </c>
      <c r="F54" s="4">
        <v>1.7461299999999999E-2</v>
      </c>
      <c r="G54" s="4">
        <v>1.6847299999999999E-2</v>
      </c>
      <c r="H54" s="4">
        <v>-3.9900000000000005E-2</v>
      </c>
      <c r="I54" s="4">
        <v>-1E-3</v>
      </c>
      <c r="J54" s="4">
        <v>1.83E-2</v>
      </c>
      <c r="K54" s="4">
        <v>2.0449999999999999E-2</v>
      </c>
      <c r="L54" s="4">
        <v>2.3550000000000001E-2</v>
      </c>
      <c r="M54" s="4">
        <f>L54-K54</f>
        <v>3.1000000000000021E-3</v>
      </c>
      <c r="N54" s="4">
        <f>K54-J54</f>
        <v>2.1499999999999991E-3</v>
      </c>
      <c r="O54" s="4">
        <f>L54-J54</f>
        <v>5.2500000000000012E-3</v>
      </c>
    </row>
    <row r="55" spans="1:15" x14ac:dyDescent="0.25">
      <c r="A55" s="3">
        <v>43617</v>
      </c>
      <c r="B55">
        <v>20218762</v>
      </c>
      <c r="C55" t="s">
        <v>67</v>
      </c>
      <c r="D55" t="s">
        <v>115</v>
      </c>
      <c r="E55" s="4">
        <v>1.74471E-2</v>
      </c>
      <c r="F55" s="4">
        <v>1.7467099999999999E-2</v>
      </c>
      <c r="G55" s="4">
        <v>1.7295400000000002E-2</v>
      </c>
      <c r="H55" s="4">
        <v>-5.5399999999999998E-2</v>
      </c>
      <c r="I55" s="4">
        <v>-3.15E-2</v>
      </c>
      <c r="J55" s="4">
        <v>1.78E-2</v>
      </c>
      <c r="K55" s="4">
        <v>1.865E-2</v>
      </c>
      <c r="L55" s="4">
        <v>2.1499999999999998E-2</v>
      </c>
      <c r="M55" s="4">
        <f>L55-K55</f>
        <v>2.8499999999999984E-3</v>
      </c>
      <c r="N55" s="4">
        <f>K55-J55</f>
        <v>8.5000000000000006E-4</v>
      </c>
      <c r="O55" s="4">
        <f>L55-J55</f>
        <v>3.6999999999999984E-3</v>
      </c>
    </row>
    <row r="56" spans="1:15" x14ac:dyDescent="0.25">
      <c r="A56" s="3">
        <v>43617</v>
      </c>
      <c r="B56">
        <v>20218762</v>
      </c>
      <c r="C56" t="s">
        <v>73</v>
      </c>
      <c r="D56" t="s">
        <v>120</v>
      </c>
      <c r="E56" s="4">
        <v>1.74471E-2</v>
      </c>
      <c r="F56" s="4">
        <v>1.7467099999999999E-2</v>
      </c>
      <c r="G56" s="4">
        <v>1.7295400000000002E-2</v>
      </c>
      <c r="H56" s="4">
        <v>-5.5399999999999998E-2</v>
      </c>
      <c r="I56" s="4">
        <v>-3.15E-2</v>
      </c>
      <c r="J56" s="4">
        <v>1.7299999999999999E-2</v>
      </c>
      <c r="K56" s="4">
        <v>1.7350000000000001E-2</v>
      </c>
      <c r="L56" s="4">
        <v>1.8700000000000001E-2</v>
      </c>
      <c r="M56" s="4">
        <f>L56-K56</f>
        <v>1.3500000000000005E-3</v>
      </c>
      <c r="N56" s="4">
        <f>K56-J56</f>
        <v>5.0000000000001432E-5</v>
      </c>
      <c r="O56" s="4">
        <f>L56-J56</f>
        <v>1.4000000000000019E-3</v>
      </c>
    </row>
    <row r="57" spans="1:15" x14ac:dyDescent="0.25">
      <c r="A57" s="3">
        <v>43678</v>
      </c>
      <c r="B57">
        <v>20338459</v>
      </c>
      <c r="C57" t="s">
        <v>72</v>
      </c>
      <c r="D57" t="s">
        <v>120</v>
      </c>
      <c r="E57" s="4">
        <v>1.7447500000000001E-2</v>
      </c>
      <c r="F57" s="4">
        <v>1.7468300000000003E-2</v>
      </c>
      <c r="G57" s="4">
        <v>1.75026E-2</v>
      </c>
      <c r="H57" s="4">
        <v>-4.4000000000000004E-2</v>
      </c>
      <c r="I57" s="4">
        <v>-3.6000000000000004E-2</v>
      </c>
      <c r="J57" s="4">
        <v>1.4199999999999999E-2</v>
      </c>
      <c r="K57" s="4">
        <v>1.38E-2</v>
      </c>
      <c r="L57" s="4">
        <v>1.4800000000000001E-2</v>
      </c>
      <c r="M57" s="4">
        <f>L57-K57</f>
        <v>1.0000000000000009E-3</v>
      </c>
      <c r="N57" s="4">
        <f>K57-J57</f>
        <v>-3.9999999999999931E-4</v>
      </c>
      <c r="O57" s="4">
        <f>L57-J57</f>
        <v>6.0000000000000157E-4</v>
      </c>
    </row>
    <row r="58" spans="1:15" x14ac:dyDescent="0.25">
      <c r="A58" s="3">
        <v>43709</v>
      </c>
      <c r="B58">
        <v>20437342</v>
      </c>
      <c r="C58" t="s">
        <v>70</v>
      </c>
      <c r="D58" t="s">
        <v>163</v>
      </c>
      <c r="E58" s="4">
        <v>1.53434E-2</v>
      </c>
      <c r="F58" s="4">
        <v>1.6741600000000002E-2</v>
      </c>
      <c r="G58" s="4">
        <v>1.7152400000000002E-2</v>
      </c>
      <c r="H58" s="4">
        <v>-4.7E-2</v>
      </c>
      <c r="I58" s="4">
        <v>-2.0499999999999997E-2</v>
      </c>
      <c r="J58" s="4">
        <v>1.44E-2</v>
      </c>
      <c r="K58" s="4">
        <v>1.4150000000000001E-2</v>
      </c>
      <c r="L58" s="4">
        <v>1.4999999999999999E-2</v>
      </c>
      <c r="M58" s="4">
        <f>L58-K58</f>
        <v>8.4999999999999833E-4</v>
      </c>
      <c r="N58" s="4">
        <f>K58-J58</f>
        <v>-2.4999999999999849E-4</v>
      </c>
      <c r="O58" s="4">
        <f>L58-J58</f>
        <v>5.9999999999999984E-4</v>
      </c>
    </row>
    <row r="59" spans="1:15" x14ac:dyDescent="0.25">
      <c r="A59" s="3">
        <v>43709</v>
      </c>
      <c r="B59">
        <v>20437342</v>
      </c>
      <c r="C59" t="s">
        <v>71</v>
      </c>
      <c r="D59" t="s">
        <v>164</v>
      </c>
      <c r="E59" s="4">
        <v>1.53434E-2</v>
      </c>
      <c r="F59" s="4">
        <v>1.6741600000000002E-2</v>
      </c>
      <c r="G59" s="4">
        <v>1.7152400000000002E-2</v>
      </c>
      <c r="H59" s="4">
        <v>-4.7E-2</v>
      </c>
      <c r="I59" s="4">
        <v>-2.0499999999999997E-2</v>
      </c>
      <c r="J59" s="4">
        <v>1.49E-2</v>
      </c>
      <c r="K59" s="4">
        <v>1.4450000000000001E-2</v>
      </c>
      <c r="L59" s="4">
        <v>1.5650000000000001E-2</v>
      </c>
      <c r="M59" s="4">
        <f>L59-K59</f>
        <v>1.1999999999999997E-3</v>
      </c>
      <c r="N59" s="4">
        <f>K59-J59</f>
        <v>-4.4999999999999901E-4</v>
      </c>
      <c r="O59" s="4">
        <f>L59-J59</f>
        <v>7.5000000000000067E-4</v>
      </c>
    </row>
    <row r="60" spans="1:15" x14ac:dyDescent="0.25">
      <c r="A60" s="3">
        <v>43770</v>
      </c>
      <c r="B60">
        <v>20702025</v>
      </c>
      <c r="C60" t="s">
        <v>69</v>
      </c>
      <c r="D60" t="s">
        <v>162</v>
      </c>
      <c r="E60" s="4">
        <v>1.49152E-2</v>
      </c>
      <c r="F60" s="4">
        <v>1.5106E-2</v>
      </c>
      <c r="G60" s="4">
        <v>1.63138E-2</v>
      </c>
      <c r="H60" s="4">
        <v>-8.2699999999999996E-2</v>
      </c>
      <c r="I60" s="4">
        <v>-7.0999999999999994E-2</v>
      </c>
      <c r="J60" s="4">
        <v>1.46E-2</v>
      </c>
      <c r="K60" s="4">
        <v>1.4199999999999999E-2</v>
      </c>
      <c r="L60" s="4">
        <v>1.6299999999999999E-2</v>
      </c>
      <c r="M60" s="4">
        <f>L60-K60</f>
        <v>2.0999999999999994E-3</v>
      </c>
      <c r="N60" s="4">
        <f>K60-J60</f>
        <v>-4.0000000000000105E-4</v>
      </c>
      <c r="O60" s="4">
        <f>L60-J60</f>
        <v>1.6999999999999984E-3</v>
      </c>
    </row>
    <row r="61" spans="1:15" x14ac:dyDescent="0.25">
      <c r="A61" s="3">
        <v>43800</v>
      </c>
      <c r="B61">
        <v>20841010</v>
      </c>
      <c r="C61" t="s">
        <v>68</v>
      </c>
      <c r="D61" t="s">
        <v>99</v>
      </c>
      <c r="E61" s="4">
        <v>1.28121E-2</v>
      </c>
      <c r="F61" s="4">
        <v>1.4215199999999999E-2</v>
      </c>
      <c r="G61" s="4">
        <v>1.55009E-2</v>
      </c>
      <c r="H61" s="4">
        <v>-4.3499999999999997E-2</v>
      </c>
      <c r="I61" s="4">
        <v>0</v>
      </c>
      <c r="J61" s="4">
        <v>1.2500000000000001E-2</v>
      </c>
      <c r="K61" s="4">
        <v>1.2699999999999999E-2</v>
      </c>
      <c r="L61" s="4">
        <v>1.4950000000000001E-2</v>
      </c>
      <c r="M61" s="4">
        <f>L61-K61</f>
        <v>2.250000000000002E-3</v>
      </c>
      <c r="N61" s="4">
        <f>K61-J61</f>
        <v>1.9999999999999879E-4</v>
      </c>
      <c r="O61" s="4">
        <f>L61-J61</f>
        <v>2.4500000000000008E-3</v>
      </c>
    </row>
    <row r="62" spans="1:15" x14ac:dyDescent="0.25">
      <c r="A62" s="3">
        <v>43831</v>
      </c>
      <c r="B62">
        <v>20876298</v>
      </c>
      <c r="C62" t="s">
        <v>67</v>
      </c>
      <c r="D62" t="s">
        <v>161</v>
      </c>
      <c r="E62" s="4">
        <v>1.23984E-2</v>
      </c>
      <c r="F62" s="4">
        <v>1.3373400000000001E-2</v>
      </c>
      <c r="G62" s="4">
        <v>1.4680500000000001E-2</v>
      </c>
      <c r="H62" s="4">
        <v>-4.5899999999999996E-2</v>
      </c>
      <c r="I62" s="4">
        <v>-3.9E-2</v>
      </c>
      <c r="J62" s="4">
        <v>1.18E-2</v>
      </c>
      <c r="K62" s="4">
        <v>1.155E-2</v>
      </c>
      <c r="L62" s="4">
        <v>1.32E-2</v>
      </c>
      <c r="M62" s="4">
        <f>L62-K62</f>
        <v>1.6500000000000004E-3</v>
      </c>
      <c r="N62" s="4">
        <f>K62-J62</f>
        <v>-2.5000000000000022E-4</v>
      </c>
      <c r="O62" s="4">
        <f>L62-J62</f>
        <v>1.4000000000000002E-3</v>
      </c>
    </row>
    <row r="63" spans="1:15" x14ac:dyDescent="0.25">
      <c r="A63" s="3">
        <v>43862</v>
      </c>
      <c r="B63">
        <v>20936713</v>
      </c>
      <c r="C63" t="s">
        <v>66</v>
      </c>
      <c r="D63" t="s">
        <v>160</v>
      </c>
      <c r="E63" s="4">
        <v>1.2413499999999999E-2</v>
      </c>
      <c r="F63" s="4">
        <v>1.2552799999999999E-2</v>
      </c>
      <c r="G63" s="4">
        <v>1.3819699999999999E-2</v>
      </c>
      <c r="H63" s="4">
        <v>-5.1900000000000002E-2</v>
      </c>
      <c r="I63" s="4">
        <v>-5.2000000000000005E-2</v>
      </c>
      <c r="J63" s="4">
        <v>9.7999999999999997E-3</v>
      </c>
      <c r="K63" s="4">
        <v>8.6999999999999994E-3</v>
      </c>
      <c r="L63" s="4">
        <v>1.0749999999999999E-2</v>
      </c>
      <c r="M63" s="4">
        <f>L63-K63</f>
        <v>2.0499999999999997E-3</v>
      </c>
      <c r="N63" s="4">
        <f>K63-J63</f>
        <v>-1.1000000000000003E-3</v>
      </c>
      <c r="O63" s="4">
        <f>L63-J63</f>
        <v>9.4999999999999946E-4</v>
      </c>
    </row>
    <row r="64" spans="1:15" x14ac:dyDescent="0.25">
      <c r="A64" s="3">
        <v>43891</v>
      </c>
      <c r="B64">
        <v>21859226</v>
      </c>
      <c r="C64" t="s">
        <v>65</v>
      </c>
      <c r="D64" t="s">
        <v>159</v>
      </c>
      <c r="E64" s="4">
        <v>1.0112300000000001E-2</v>
      </c>
      <c r="F64" s="4">
        <v>1.1710799999999999E-2</v>
      </c>
      <c r="G64" s="4">
        <v>1.29838E-2</v>
      </c>
      <c r="H64" s="4">
        <v>-0.1125</v>
      </c>
      <c r="I64" s="4">
        <v>-6.25E-2</v>
      </c>
      <c r="J64" s="4">
        <v>9.1000000000000004E-3</v>
      </c>
      <c r="K64" s="4">
        <v>1.0800000000000001E-2</v>
      </c>
      <c r="L64" s="4">
        <v>1.52E-2</v>
      </c>
      <c r="M64" s="4">
        <f>L64-K64</f>
        <v>4.3999999999999994E-3</v>
      </c>
      <c r="N64" s="4">
        <f>K64-J64</f>
        <v>1.7000000000000001E-3</v>
      </c>
      <c r="O64" s="4">
        <f>L64-J64</f>
        <v>6.0999999999999995E-3</v>
      </c>
    </row>
    <row r="65" spans="1:15" x14ac:dyDescent="0.25">
      <c r="A65" s="3">
        <v>43922</v>
      </c>
      <c r="B65">
        <v>22288558</v>
      </c>
      <c r="C65" t="s">
        <v>64</v>
      </c>
      <c r="D65" t="s">
        <v>158</v>
      </c>
      <c r="E65" s="4">
        <v>9.1788000000000008E-3</v>
      </c>
      <c r="F65" s="4">
        <v>1.06277E-2</v>
      </c>
      <c r="G65" s="4">
        <v>1.2049499999999999E-2</v>
      </c>
      <c r="H65" s="4">
        <v>-0.1721</v>
      </c>
      <c r="I65" s="4">
        <v>-0.19550000000000001</v>
      </c>
      <c r="J65" s="4">
        <v>7.1999999999999998E-3</v>
      </c>
      <c r="K65" s="4">
        <v>8.8999999999999999E-3</v>
      </c>
      <c r="L65" s="4">
        <v>1.18E-2</v>
      </c>
      <c r="M65" s="4">
        <f>L65-K65</f>
        <v>2.8999999999999998E-3</v>
      </c>
      <c r="N65" s="4">
        <f>K65-J65</f>
        <v>1.7000000000000001E-3</v>
      </c>
      <c r="O65" s="4">
        <f>L65-J65</f>
        <v>4.5999999999999999E-3</v>
      </c>
    </row>
    <row r="66" spans="1:15" x14ac:dyDescent="0.25">
      <c r="A66" s="3">
        <v>43952</v>
      </c>
      <c r="B66">
        <v>22494529</v>
      </c>
      <c r="C66" t="s">
        <v>63</v>
      </c>
      <c r="D66" t="s">
        <v>157</v>
      </c>
      <c r="E66" s="4">
        <v>7.4479999999999998E-3</v>
      </c>
      <c r="F66" s="4">
        <v>8.7495000000000003E-3</v>
      </c>
      <c r="G66" s="4">
        <v>1.0631600000000001E-2</v>
      </c>
      <c r="H66" s="4">
        <v>-0.23190000000000002</v>
      </c>
      <c r="I66" s="4">
        <v>-0.21</v>
      </c>
      <c r="J66" s="4">
        <v>6.0999999999999995E-3</v>
      </c>
      <c r="K66" s="4">
        <v>7.7000000000000002E-3</v>
      </c>
      <c r="L66" s="4">
        <v>1.1599999999999999E-2</v>
      </c>
      <c r="M66" s="4">
        <f>L66-K66</f>
        <v>3.899999999999999E-3</v>
      </c>
      <c r="N66" s="4">
        <f>K66-J66</f>
        <v>1.6000000000000007E-3</v>
      </c>
      <c r="O66" s="4">
        <f>L66-J66</f>
        <v>5.4999999999999997E-3</v>
      </c>
    </row>
    <row r="67" spans="1:15" x14ac:dyDescent="0.25">
      <c r="A67" s="3">
        <v>43983</v>
      </c>
      <c r="B67">
        <v>22435940</v>
      </c>
      <c r="C67" t="s">
        <v>62</v>
      </c>
      <c r="D67" t="s">
        <v>156</v>
      </c>
      <c r="E67" s="4">
        <v>6.3182000000000004E-3</v>
      </c>
      <c r="F67" s="4">
        <v>7.6880999999999998E-3</v>
      </c>
      <c r="G67" s="4">
        <v>9.7106999999999992E-3</v>
      </c>
      <c r="H67" s="4">
        <v>-0.17660000000000001</v>
      </c>
      <c r="I67" s="4">
        <v>-0.21</v>
      </c>
      <c r="J67" s="4">
        <v>5.4000000000000003E-3</v>
      </c>
      <c r="K67" s="4">
        <v>7.8500000000000011E-3</v>
      </c>
      <c r="L67" s="4">
        <v>1.2199999999999999E-2</v>
      </c>
      <c r="M67" s="4">
        <f>L67-K67</f>
        <v>4.349999999999998E-3</v>
      </c>
      <c r="N67" s="4">
        <f>K67-J67</f>
        <v>2.4500000000000008E-3</v>
      </c>
      <c r="O67" s="4">
        <f>L67-J67</f>
        <v>6.7999999999999988E-3</v>
      </c>
    </row>
    <row r="68" spans="1:15" x14ac:dyDescent="0.25">
      <c r="A68" s="3">
        <v>44013</v>
      </c>
      <c r="B68">
        <v>22552107</v>
      </c>
      <c r="C68" t="s">
        <v>61</v>
      </c>
      <c r="D68" t="s">
        <v>155</v>
      </c>
      <c r="E68" s="4">
        <v>4.9153999999999995E-3</v>
      </c>
      <c r="F68" s="4">
        <v>6.2809000000000007E-3</v>
      </c>
      <c r="G68" s="4">
        <v>8.4506000000000008E-3</v>
      </c>
      <c r="H68" s="4">
        <v>-0.1469</v>
      </c>
      <c r="I68" s="4">
        <v>-0.13900000000000001</v>
      </c>
      <c r="J68" s="4">
        <v>5.4000000000000003E-3</v>
      </c>
      <c r="K68" s="4">
        <v>7.3499999999999998E-3</v>
      </c>
      <c r="L68" s="4">
        <v>1.2199999999999999E-2</v>
      </c>
      <c r="M68" s="4">
        <f>L68-K68</f>
        <v>4.8499999999999993E-3</v>
      </c>
      <c r="N68" s="4">
        <f>K68-J68</f>
        <v>1.9499999999999995E-3</v>
      </c>
      <c r="O68" s="4">
        <f>L68-J68</f>
        <v>6.7999999999999988E-3</v>
      </c>
    </row>
    <row r="69" spans="1:15" x14ac:dyDescent="0.25">
      <c r="A69" s="3">
        <v>44044</v>
      </c>
      <c r="B69">
        <v>22493305</v>
      </c>
      <c r="C69" t="s">
        <v>60</v>
      </c>
      <c r="D69" t="s">
        <v>154</v>
      </c>
      <c r="E69" s="4">
        <v>4.9153999999999995E-3</v>
      </c>
      <c r="F69" s="4">
        <v>5.3391000000000003E-3</v>
      </c>
      <c r="G69" s="4">
        <v>7.1094000000000001E-3</v>
      </c>
      <c r="H69" s="4">
        <v>-9.3399999999999997E-2</v>
      </c>
      <c r="I69" s="4">
        <v>-0.1255</v>
      </c>
      <c r="J69" s="4">
        <v>5.1999999999999998E-3</v>
      </c>
      <c r="K69" s="4">
        <v>8.3499999999999998E-3</v>
      </c>
      <c r="L69" s="4">
        <v>1.46E-2</v>
      </c>
      <c r="M69" s="4">
        <f>L69-K69</f>
        <v>6.2500000000000003E-3</v>
      </c>
      <c r="N69" s="4">
        <f>K69-J69</f>
        <v>3.15E-3</v>
      </c>
      <c r="O69" s="4">
        <f>L69-J69</f>
        <v>9.4000000000000004E-3</v>
      </c>
    </row>
    <row r="70" spans="1:15" x14ac:dyDescent="0.25">
      <c r="A70" s="3">
        <v>44075</v>
      </c>
      <c r="B70">
        <v>22435829</v>
      </c>
      <c r="C70" t="s">
        <v>58</v>
      </c>
      <c r="D70" t="s">
        <v>60</v>
      </c>
      <c r="E70" s="4">
        <v>4.9185000000000001E-3</v>
      </c>
      <c r="F70" s="4">
        <v>4.9189000000000004E-3</v>
      </c>
      <c r="G70" s="4">
        <v>6.3007000000000002E-3</v>
      </c>
      <c r="H70" s="4">
        <v>-2.75E-2</v>
      </c>
      <c r="I70" s="4">
        <v>-4.7100000000000003E-2</v>
      </c>
      <c r="J70" s="4">
        <v>5.5500000000000002E-3</v>
      </c>
      <c r="K70" s="4">
        <v>8.1000000000000013E-3</v>
      </c>
      <c r="L70" s="4">
        <v>1.3500000000000002E-2</v>
      </c>
      <c r="M70" s="4">
        <f>L70-K70</f>
        <v>5.4000000000000003E-3</v>
      </c>
      <c r="N70" s="4">
        <f>K70-J70</f>
        <v>2.5500000000000011E-3</v>
      </c>
      <c r="O70" s="4">
        <f>L70-J70</f>
        <v>7.9500000000000022E-3</v>
      </c>
    </row>
    <row r="71" spans="1:15" x14ac:dyDescent="0.25">
      <c r="A71" s="3">
        <v>44105</v>
      </c>
      <c r="B71">
        <v>22522590</v>
      </c>
      <c r="C71" t="s">
        <v>59</v>
      </c>
      <c r="D71" t="s">
        <v>153</v>
      </c>
      <c r="E71" s="4">
        <v>4.9142999999999999E-3</v>
      </c>
      <c r="F71" s="4">
        <v>4.9186000000000004E-3</v>
      </c>
      <c r="G71" s="4">
        <v>5.5998999999999997E-3</v>
      </c>
      <c r="H71" s="4">
        <v>-5.4000000000000003E-3</v>
      </c>
      <c r="I71" s="4">
        <v>-1.8000000000000002E-2</v>
      </c>
      <c r="J71" s="4">
        <v>5.6000000000000008E-3</v>
      </c>
      <c r="K71" s="4">
        <v>7.9500000000000005E-3</v>
      </c>
      <c r="L71" s="4">
        <v>1.37E-2</v>
      </c>
      <c r="M71" s="4">
        <f>L71-K71</f>
        <v>5.7499999999999999E-3</v>
      </c>
      <c r="N71" s="4">
        <f>K71-J71</f>
        <v>2.3499999999999997E-3</v>
      </c>
      <c r="O71" s="4">
        <f>L71-J71</f>
        <v>8.0999999999999996E-3</v>
      </c>
    </row>
    <row r="72" spans="1:15" x14ac:dyDescent="0.25">
      <c r="A72" s="3">
        <v>44136</v>
      </c>
      <c r="B72">
        <v>22780346</v>
      </c>
      <c r="C72" t="s">
        <v>58</v>
      </c>
      <c r="D72" t="s">
        <v>153</v>
      </c>
      <c r="E72" s="4">
        <v>4.914E-3</v>
      </c>
      <c r="F72" s="4">
        <v>4.9176999999999997E-3</v>
      </c>
      <c r="G72" s="4">
        <v>5.1304999999999996E-3</v>
      </c>
      <c r="H72" s="4">
        <v>3.4999999999999996E-3</v>
      </c>
      <c r="I72" s="4">
        <v>-5.5000000000000005E-3</v>
      </c>
      <c r="J72" s="4">
        <v>5.1999999999999998E-3</v>
      </c>
      <c r="K72" s="4">
        <v>7.4000000000000003E-3</v>
      </c>
      <c r="L72" s="4">
        <v>1.34E-2</v>
      </c>
      <c r="M72" s="4">
        <f>L72-K72</f>
        <v>6.0000000000000001E-3</v>
      </c>
      <c r="N72" s="4">
        <f>K72-J72</f>
        <v>2.2000000000000006E-3</v>
      </c>
      <c r="O72" s="4">
        <f>L72-J72</f>
        <v>8.2000000000000007E-3</v>
      </c>
    </row>
    <row r="73" spans="1:15" x14ac:dyDescent="0.25">
      <c r="A73" s="3">
        <v>44166</v>
      </c>
      <c r="B73">
        <v>22958439</v>
      </c>
      <c r="C73" t="s">
        <v>57</v>
      </c>
      <c r="D73" t="s">
        <v>152</v>
      </c>
      <c r="E73" s="4">
        <v>4.9147999999999996E-3</v>
      </c>
      <c r="F73" s="4">
        <v>4.9166000000000001E-3</v>
      </c>
      <c r="G73" s="4">
        <v>4.9208000000000003E-3</v>
      </c>
      <c r="H73" s="4">
        <v>-2.4399999999999998E-2</v>
      </c>
      <c r="I73" s="4">
        <v>-1.4499999999999999E-2</v>
      </c>
      <c r="J73" s="4">
        <v>3.4999999999999996E-3</v>
      </c>
      <c r="K73" s="4">
        <v>5.3E-3</v>
      </c>
      <c r="L73" s="4">
        <v>1.1650000000000001E-2</v>
      </c>
      <c r="M73" s="4">
        <f>L73-K73</f>
        <v>6.3500000000000006E-3</v>
      </c>
      <c r="N73" s="4">
        <f>K73-J73</f>
        <v>1.8000000000000004E-3</v>
      </c>
      <c r="O73" s="4">
        <f>L73-J73</f>
        <v>8.150000000000001E-3</v>
      </c>
    </row>
    <row r="74" spans="1:15" x14ac:dyDescent="0.25">
      <c r="A74" s="3">
        <v>44197</v>
      </c>
      <c r="B74">
        <v>22915295</v>
      </c>
      <c r="C74" t="s">
        <v>56</v>
      </c>
      <c r="D74" t="s">
        <v>151</v>
      </c>
      <c r="E74" s="4">
        <v>4.9337999999999995E-3</v>
      </c>
      <c r="F74" s="4">
        <v>4.9233000000000002E-3</v>
      </c>
      <c r="G74" s="4">
        <v>4.9239000000000002E-3</v>
      </c>
      <c r="H74" s="4">
        <v>-2.7999999999999997E-2</v>
      </c>
      <c r="I74" s="4">
        <v>-4.4000000000000004E-2</v>
      </c>
      <c r="J74" s="4">
        <v>4.4000000000000003E-3</v>
      </c>
      <c r="K74" s="4">
        <v>6.4000000000000003E-3</v>
      </c>
      <c r="L74" s="4">
        <v>1.2199999999999999E-2</v>
      </c>
      <c r="M74" s="4">
        <f>L74-K74</f>
        <v>5.7999999999999987E-3</v>
      </c>
      <c r="N74" s="4">
        <f>K74-J74</f>
        <v>2E-3</v>
      </c>
      <c r="O74" s="4">
        <f>L74-J74</f>
        <v>7.7999999999999988E-3</v>
      </c>
    </row>
    <row r="75" spans="1:15" x14ac:dyDescent="0.25">
      <c r="A75" s="3">
        <v>44228</v>
      </c>
      <c r="B75">
        <v>23019908</v>
      </c>
      <c r="C75" t="s">
        <v>55</v>
      </c>
      <c r="D75" t="s">
        <v>122</v>
      </c>
      <c r="E75" s="4">
        <v>4.9267E-3</v>
      </c>
      <c r="F75" s="4">
        <v>4.9274000000000002E-3</v>
      </c>
      <c r="G75" s="4">
        <v>4.9255999999999996E-3</v>
      </c>
      <c r="H75" s="4">
        <v>-1.0800000000000001E-2</v>
      </c>
      <c r="I75" s="4">
        <v>6.0000000000000001E-3</v>
      </c>
      <c r="J75" s="4">
        <v>5.6000000000000008E-3</v>
      </c>
      <c r="K75" s="4">
        <v>8.8999999999999999E-3</v>
      </c>
      <c r="L75" s="4">
        <v>1.6500000000000001E-2</v>
      </c>
      <c r="M75" s="4">
        <f>L75-K75</f>
        <v>7.6000000000000009E-3</v>
      </c>
      <c r="N75" s="4">
        <f>K75-J75</f>
        <v>3.2999999999999991E-3</v>
      </c>
      <c r="O75" s="4">
        <f>L75-J75</f>
        <v>1.09E-2</v>
      </c>
    </row>
    <row r="76" spans="1:15" x14ac:dyDescent="0.25">
      <c r="A76" s="3">
        <v>44256</v>
      </c>
      <c r="B76">
        <v>23109674</v>
      </c>
      <c r="C76" t="s">
        <v>54</v>
      </c>
      <c r="D76" t="s">
        <v>150</v>
      </c>
      <c r="E76" s="4">
        <v>4.9255999999999996E-3</v>
      </c>
      <c r="F76" s="4">
        <v>4.9308999999999993E-3</v>
      </c>
      <c r="G76" s="4">
        <v>4.9267E-3</v>
      </c>
      <c r="H76" s="4">
        <v>4.1200000000000001E-2</v>
      </c>
      <c r="I76" s="4">
        <v>4.4000000000000004E-2</v>
      </c>
      <c r="J76" s="4">
        <v>3.9000000000000003E-3</v>
      </c>
      <c r="K76" s="4">
        <v>8.199999999999999E-3</v>
      </c>
      <c r="L76" s="4">
        <v>1.78E-2</v>
      </c>
      <c r="M76" s="4">
        <f>L76-K76</f>
        <v>9.6000000000000009E-3</v>
      </c>
      <c r="N76" s="4">
        <f>K76-J76</f>
        <v>4.2999999999999983E-3</v>
      </c>
      <c r="O76" s="4">
        <f>L76-J76</f>
        <v>1.3899999999999999E-2</v>
      </c>
    </row>
    <row r="77" spans="1:15" x14ac:dyDescent="0.25">
      <c r="A77" s="3">
        <v>44287</v>
      </c>
      <c r="B77">
        <v>23239804</v>
      </c>
      <c r="C77" t="s">
        <v>53</v>
      </c>
      <c r="D77" t="s">
        <v>101</v>
      </c>
      <c r="E77" s="4">
        <v>4.9291999999999999E-3</v>
      </c>
      <c r="F77" s="4">
        <v>4.9291999999999999E-3</v>
      </c>
      <c r="G77" s="4">
        <v>4.9291999999999999E-3</v>
      </c>
      <c r="H77" s="4">
        <v>0.18460000000000001</v>
      </c>
      <c r="I77" s="4">
        <v>0.14599999999999999</v>
      </c>
      <c r="J77" s="4">
        <v>3.0000000000000001E-3</v>
      </c>
      <c r="K77" s="4">
        <v>8.1000000000000013E-3</v>
      </c>
      <c r="L77" s="4">
        <v>1.67E-2</v>
      </c>
      <c r="M77" s="4">
        <f>L77-K77</f>
        <v>8.5999999999999983E-3</v>
      </c>
      <c r="N77" s="4">
        <f>K77-J77</f>
        <v>5.1000000000000012E-3</v>
      </c>
      <c r="O77" s="4">
        <f>L77-J77</f>
        <v>1.37E-2</v>
      </c>
    </row>
    <row r="78" spans="1:15" x14ac:dyDescent="0.25">
      <c r="A78" s="3">
        <v>44317</v>
      </c>
      <c r="B78">
        <v>23282599</v>
      </c>
      <c r="C78" t="s">
        <v>52</v>
      </c>
      <c r="D78" t="s">
        <v>145</v>
      </c>
      <c r="E78" s="4">
        <v>4.9294999999999999E-3</v>
      </c>
      <c r="F78" s="4">
        <v>4.9299000000000001E-3</v>
      </c>
      <c r="G78" s="4">
        <v>4.9322000000000003E-3</v>
      </c>
      <c r="H78" s="4">
        <v>0.25840000000000002</v>
      </c>
      <c r="I78" s="4">
        <v>0.19</v>
      </c>
      <c r="J78" s="4">
        <v>4.8999999999999998E-3</v>
      </c>
      <c r="K78" s="4">
        <v>7.8000000000000005E-3</v>
      </c>
      <c r="L78" s="4">
        <v>1.7600000000000001E-2</v>
      </c>
      <c r="M78" s="4">
        <f>L78-K78</f>
        <v>9.7999999999999997E-3</v>
      </c>
      <c r="N78" s="4">
        <f>K78-J78</f>
        <v>2.9000000000000007E-3</v>
      </c>
      <c r="O78" s="4">
        <f>L78-J78</f>
        <v>1.2700000000000001E-2</v>
      </c>
    </row>
    <row r="79" spans="1:15" x14ac:dyDescent="0.25">
      <c r="A79" s="3">
        <v>44348</v>
      </c>
      <c r="B79">
        <v>23095124</v>
      </c>
      <c r="C79" t="s">
        <v>51</v>
      </c>
      <c r="D79" t="s">
        <v>149</v>
      </c>
      <c r="E79" s="4">
        <v>4.9229E-3</v>
      </c>
      <c r="F79" s="4">
        <v>4.9297000000000004E-3</v>
      </c>
      <c r="G79" s="4">
        <v>4.9332999999999998E-3</v>
      </c>
      <c r="H79" s="4">
        <v>0.17579999999999998</v>
      </c>
      <c r="I79" s="4">
        <v>0.1875</v>
      </c>
      <c r="J79" s="4">
        <v>4.6999999999999993E-3</v>
      </c>
      <c r="K79" s="4">
        <v>6.5000000000000006E-3</v>
      </c>
      <c r="L79" s="4">
        <v>1.6200000000000003E-2</v>
      </c>
      <c r="M79" s="4">
        <f>L79-K79</f>
        <v>9.700000000000002E-3</v>
      </c>
      <c r="N79" s="4">
        <f>K79-J79</f>
        <v>1.8000000000000013E-3</v>
      </c>
      <c r="O79" s="4">
        <f>L79-J79</f>
        <v>1.1500000000000003E-2</v>
      </c>
    </row>
    <row r="80" spans="1:15" x14ac:dyDescent="0.25">
      <c r="A80" s="3">
        <v>44378</v>
      </c>
      <c r="B80">
        <v>23266534</v>
      </c>
      <c r="C80" t="s">
        <v>50</v>
      </c>
      <c r="D80" t="s">
        <v>148</v>
      </c>
      <c r="E80" s="4">
        <v>4.9286E-3</v>
      </c>
      <c r="F80" s="4">
        <v>4.9293999999999996E-3</v>
      </c>
      <c r="G80" s="4">
        <v>4.9322999999999997E-3</v>
      </c>
      <c r="H80" s="4">
        <v>5.1200000000000002E-2</v>
      </c>
      <c r="I80" s="4">
        <v>0.11</v>
      </c>
      <c r="J80" s="4">
        <v>6.6E-3</v>
      </c>
      <c r="K80" s="4">
        <v>6.8000000000000005E-3</v>
      </c>
      <c r="L80" s="4">
        <v>1.5900000000000001E-2</v>
      </c>
      <c r="M80" s="4">
        <f>L80-K80</f>
        <v>9.1000000000000004E-3</v>
      </c>
      <c r="N80" s="4">
        <f>K80-J80</f>
        <v>2.0000000000000052E-4</v>
      </c>
      <c r="O80" s="4">
        <f>L80-J80</f>
        <v>9.300000000000001E-3</v>
      </c>
    </row>
    <row r="81" spans="1:15" x14ac:dyDescent="0.25">
      <c r="A81" s="3">
        <v>44409</v>
      </c>
      <c r="B81">
        <v>23374555</v>
      </c>
      <c r="C81" t="s">
        <v>49</v>
      </c>
      <c r="D81" t="s">
        <v>147</v>
      </c>
      <c r="E81" s="4">
        <v>4.9411000000000004E-3</v>
      </c>
      <c r="F81" s="4">
        <v>4.9334000000000001E-3</v>
      </c>
      <c r="G81" s="4">
        <v>4.9350000000000002E-3</v>
      </c>
      <c r="H81" s="4">
        <v>-4.1500000000000002E-2</v>
      </c>
      <c r="I81" s="4">
        <v>-7.7000000000000002E-3</v>
      </c>
      <c r="J81" s="4">
        <v>6.3E-3</v>
      </c>
      <c r="K81" s="4">
        <v>5.5000000000000005E-3</v>
      </c>
      <c r="L81" s="4">
        <v>1.5900000000000001E-2</v>
      </c>
      <c r="M81" s="4">
        <f>L81-K81</f>
        <v>1.04E-2</v>
      </c>
      <c r="N81" s="4">
        <f>K81-J81</f>
        <v>-7.999999999999995E-4</v>
      </c>
      <c r="O81" s="4">
        <f>L81-J81</f>
        <v>9.6000000000000009E-3</v>
      </c>
    </row>
    <row r="82" spans="1:15" x14ac:dyDescent="0.25">
      <c r="A82" s="3">
        <v>44440</v>
      </c>
      <c r="B82">
        <v>23517109</v>
      </c>
      <c r="C82" t="s">
        <v>48</v>
      </c>
      <c r="D82" t="s">
        <v>99</v>
      </c>
      <c r="E82" s="4">
        <v>4.9418999999999999E-3</v>
      </c>
      <c r="F82" s="4">
        <v>4.9392999999999998E-3</v>
      </c>
      <c r="G82" s="4">
        <v>4.9375999999999995E-3</v>
      </c>
      <c r="H82" s="4">
        <v>-1.2800000000000001E-2</v>
      </c>
      <c r="I82" s="4">
        <v>-0.03</v>
      </c>
      <c r="J82" s="4">
        <v>7.1999999999999998E-3</v>
      </c>
      <c r="K82" s="4">
        <v>8.1000000000000013E-3</v>
      </c>
      <c r="L82" s="4">
        <v>1.8799999999999997E-2</v>
      </c>
      <c r="M82" s="4">
        <f>L82-K82</f>
        <v>1.0699999999999996E-2</v>
      </c>
      <c r="N82" s="4">
        <f>K82-J82</f>
        <v>9.0000000000000149E-4</v>
      </c>
      <c r="O82" s="4">
        <f>L82-J82</f>
        <v>1.1599999999999997E-2</v>
      </c>
    </row>
    <row r="83" spans="1:15" x14ac:dyDescent="0.25">
      <c r="A83" s="3">
        <v>44470</v>
      </c>
      <c r="B83">
        <v>23728417</v>
      </c>
      <c r="C83" t="s">
        <v>47</v>
      </c>
      <c r="D83" t="s">
        <v>119</v>
      </c>
      <c r="E83" s="4">
        <v>4.9404999999999996E-3</v>
      </c>
      <c r="F83" s="4">
        <v>4.9432E-3</v>
      </c>
      <c r="G83" s="4">
        <v>4.9394E-3</v>
      </c>
      <c r="H83" s="4">
        <v>2.9100000000000001E-2</v>
      </c>
      <c r="I83" s="4">
        <v>1.6E-2</v>
      </c>
      <c r="J83" s="4">
        <v>8.0000000000000002E-3</v>
      </c>
      <c r="K83" s="4">
        <v>1.01E-2</v>
      </c>
      <c r="L83" s="4">
        <v>1.9900000000000001E-2</v>
      </c>
      <c r="M83" s="4">
        <f>L83-K83</f>
        <v>9.8000000000000014E-3</v>
      </c>
      <c r="N83" s="4">
        <f>K83-J83</f>
        <v>2.0999999999999994E-3</v>
      </c>
      <c r="O83" s="4">
        <f>L83-J83</f>
        <v>1.1900000000000001E-2</v>
      </c>
    </row>
    <row r="84" spans="1:15" x14ac:dyDescent="0.25">
      <c r="A84" s="3">
        <v>44501</v>
      </c>
      <c r="B84">
        <v>23824363</v>
      </c>
      <c r="C84" t="s">
        <v>46</v>
      </c>
      <c r="D84" t="s">
        <v>146</v>
      </c>
      <c r="E84" s="4">
        <v>4.9420999999999996E-3</v>
      </c>
      <c r="F84" s="4">
        <v>4.9435E-3</v>
      </c>
      <c r="G84" s="4">
        <v>4.9414999999999997E-3</v>
      </c>
      <c r="H84" s="4">
        <v>4.8399999999999999E-2</v>
      </c>
      <c r="I84" s="4">
        <v>3.2000000000000001E-2</v>
      </c>
      <c r="J84" s="4">
        <v>7.4999999999999997E-3</v>
      </c>
      <c r="K84" s="4">
        <v>9.7000000000000003E-3</v>
      </c>
      <c r="L84" s="4">
        <v>1.8799999999999997E-2</v>
      </c>
      <c r="M84" s="4">
        <f>L84-K84</f>
        <v>9.099999999999997E-3</v>
      </c>
      <c r="N84" s="4">
        <f>K84-J84</f>
        <v>2.2000000000000006E-3</v>
      </c>
      <c r="O84" s="4">
        <f>L84-J84</f>
        <v>1.1299999999999998E-2</v>
      </c>
    </row>
    <row r="85" spans="1:15" x14ac:dyDescent="0.25">
      <c r="A85" s="3">
        <v>44531</v>
      </c>
      <c r="B85">
        <v>24061617</v>
      </c>
      <c r="C85" t="s">
        <v>45</v>
      </c>
      <c r="D85" t="s">
        <v>145</v>
      </c>
      <c r="E85" s="4">
        <v>4.9078999999999998E-3</v>
      </c>
      <c r="F85" s="4">
        <v>4.9322999999999997E-3</v>
      </c>
      <c r="G85" s="4">
        <v>4.9388999999999995E-3</v>
      </c>
      <c r="H85" s="4">
        <v>6.83E-2</v>
      </c>
      <c r="I85" s="4">
        <v>5.7000000000000002E-2</v>
      </c>
      <c r="J85" s="4">
        <v>5.1000000000000004E-3</v>
      </c>
      <c r="K85" s="4">
        <v>1.37E-2</v>
      </c>
      <c r="L85" s="4">
        <v>1.95E-2</v>
      </c>
      <c r="M85" s="4">
        <f>L85-K85</f>
        <v>5.7999999999999996E-3</v>
      </c>
      <c r="N85" s="4">
        <f>K85-J85</f>
        <v>8.6E-3</v>
      </c>
      <c r="O85" s="4">
        <f>L85-J85</f>
        <v>1.44E-2</v>
      </c>
    </row>
    <row r="86" spans="1:15" x14ac:dyDescent="0.25">
      <c r="A86" s="3">
        <v>44562</v>
      </c>
      <c r="B86">
        <v>24089550</v>
      </c>
      <c r="C86" t="s">
        <v>44</v>
      </c>
      <c r="D86" t="s">
        <v>144</v>
      </c>
      <c r="E86" s="4">
        <v>4.9049000000000002E-3</v>
      </c>
      <c r="F86" s="4">
        <v>4.9197999999999993E-3</v>
      </c>
      <c r="G86" s="4">
        <v>4.9345999999999999E-3</v>
      </c>
      <c r="H86" s="4">
        <v>1.9900000000000001E-2</v>
      </c>
      <c r="I86" s="4">
        <v>4.5999999999999999E-2</v>
      </c>
      <c r="J86" s="4">
        <v>5.0000000000000001E-3</v>
      </c>
      <c r="K86" s="4">
        <v>1.5449999999999998E-2</v>
      </c>
      <c r="L86" s="4">
        <v>2.1499999999999998E-2</v>
      </c>
      <c r="M86" s="4">
        <f>L86-K86</f>
        <v>6.0499999999999998E-3</v>
      </c>
      <c r="N86" s="4">
        <f>K86-J86</f>
        <v>1.0449999999999997E-2</v>
      </c>
      <c r="O86" s="4">
        <f>L86-J86</f>
        <v>1.6499999999999997E-2</v>
      </c>
    </row>
    <row r="87" spans="1:15" x14ac:dyDescent="0.25">
      <c r="A87" s="3">
        <v>44593</v>
      </c>
      <c r="B87">
        <v>24269541</v>
      </c>
      <c r="C87" t="s">
        <v>43</v>
      </c>
      <c r="D87" t="s">
        <v>143</v>
      </c>
      <c r="E87" s="4">
        <v>4.9026999999999994E-3</v>
      </c>
      <c r="F87" s="4">
        <v>4.9075000000000004E-3</v>
      </c>
      <c r="G87" s="4">
        <v>4.9284999999999997E-3</v>
      </c>
      <c r="H87" s="4">
        <v>2.75E-2</v>
      </c>
      <c r="I87" s="4">
        <v>2.5000000000000001E-2</v>
      </c>
      <c r="J87" s="4">
        <v>4.7999999999999996E-3</v>
      </c>
      <c r="K87" s="4">
        <v>1.54E-2</v>
      </c>
      <c r="L87" s="4">
        <v>2.205E-2</v>
      </c>
      <c r="M87" s="4">
        <f>L87-K87</f>
        <v>6.6499999999999997E-3</v>
      </c>
      <c r="N87" s="4">
        <f>K87-J87</f>
        <v>1.0600000000000002E-2</v>
      </c>
      <c r="O87" s="4">
        <f>L87-J87</f>
        <v>1.7250000000000001E-2</v>
      </c>
    </row>
    <row r="88" spans="1:15" x14ac:dyDescent="0.25">
      <c r="A88" s="3">
        <v>44621</v>
      </c>
      <c r="B88">
        <v>24559711</v>
      </c>
      <c r="C88" t="s">
        <v>42</v>
      </c>
      <c r="D88" t="s">
        <v>142</v>
      </c>
      <c r="E88" s="4">
        <v>4.9141000000000002E-3</v>
      </c>
      <c r="F88" s="4">
        <v>4.9093999999999995E-3</v>
      </c>
      <c r="G88" s="4">
        <v>4.9239000000000002E-3</v>
      </c>
      <c r="H88" s="4">
        <v>-1E-3</v>
      </c>
      <c r="I88" s="4">
        <v>2.1499999999999998E-2</v>
      </c>
      <c r="J88" s="4">
        <v>4.5999999999999999E-3</v>
      </c>
      <c r="K88" s="4">
        <v>1.54E-2</v>
      </c>
      <c r="L88" s="4">
        <v>2.205E-2</v>
      </c>
      <c r="M88" s="4">
        <f>L88-K88</f>
        <v>6.6499999999999997E-3</v>
      </c>
      <c r="N88" s="4">
        <f>K88-J88</f>
        <v>1.0800000000000001E-2</v>
      </c>
      <c r="O88" s="4">
        <f>L88-J88</f>
        <v>1.745E-2</v>
      </c>
    </row>
    <row r="89" spans="1:15" x14ac:dyDescent="0.25">
      <c r="A89" s="3">
        <v>44652</v>
      </c>
      <c r="B89">
        <v>24633637</v>
      </c>
      <c r="C89" t="s">
        <v>41</v>
      </c>
      <c r="D89" t="s">
        <v>141</v>
      </c>
      <c r="E89" s="4">
        <v>4.9218000000000005E-3</v>
      </c>
      <c r="F89" s="4">
        <v>4.9151000000000004E-3</v>
      </c>
      <c r="G89" s="4">
        <v>4.9209000000000006E-3</v>
      </c>
      <c r="H89" s="4">
        <v>5.6000000000000008E-3</v>
      </c>
      <c r="I89" s="4">
        <v>1.6E-2</v>
      </c>
      <c r="J89" s="4">
        <v>4.3499999999999997E-3</v>
      </c>
      <c r="K89" s="4">
        <v>2.3300000000000001E-2</v>
      </c>
      <c r="L89" s="4">
        <v>2.7099999999999999E-2</v>
      </c>
      <c r="M89" s="4">
        <f>L89-K89</f>
        <v>3.7999999999999978E-3</v>
      </c>
      <c r="N89" s="4">
        <f>K89-J89</f>
        <v>1.8950000000000002E-2</v>
      </c>
      <c r="O89" s="4">
        <f>L89-J89</f>
        <v>2.2749999999999999E-2</v>
      </c>
    </row>
    <row r="90" spans="1:15" x14ac:dyDescent="0.25">
      <c r="A90" s="3">
        <v>44682</v>
      </c>
      <c r="B90">
        <v>24636314</v>
      </c>
      <c r="C90" t="s">
        <v>40</v>
      </c>
      <c r="D90" t="s">
        <v>140</v>
      </c>
      <c r="E90" s="4">
        <v>4.9135000000000003E-3</v>
      </c>
      <c r="F90" s="4">
        <v>4.9185000000000001E-3</v>
      </c>
      <c r="G90" s="4">
        <v>4.9160000000000002E-3</v>
      </c>
      <c r="H90" s="4">
        <v>-2.1099999999999997E-2</v>
      </c>
      <c r="I90" s="4">
        <v>1.4999999999999999E-2</v>
      </c>
      <c r="J90" s="4">
        <v>1.1200000000000002E-2</v>
      </c>
      <c r="K90" s="4">
        <v>2.2799999999999997E-2</v>
      </c>
      <c r="L90" s="4">
        <v>2.8999999999999998E-2</v>
      </c>
      <c r="M90" s="4">
        <f>L90-K90</f>
        <v>6.2000000000000006E-3</v>
      </c>
      <c r="N90" s="4">
        <f>K90-J90</f>
        <v>1.1599999999999996E-2</v>
      </c>
      <c r="O90" s="4">
        <f>L90-J90</f>
        <v>1.7799999999999996E-2</v>
      </c>
    </row>
    <row r="91" spans="1:15" x14ac:dyDescent="0.25">
      <c r="A91" s="3">
        <v>44713</v>
      </c>
      <c r="B91">
        <v>24545875</v>
      </c>
      <c r="C91" t="s">
        <v>39</v>
      </c>
      <c r="D91" t="s">
        <v>140</v>
      </c>
      <c r="E91" s="4">
        <v>4.9167999999999998E-3</v>
      </c>
      <c r="F91" s="4">
        <v>4.9194E-3</v>
      </c>
      <c r="G91" s="4">
        <v>4.9173999999999997E-3</v>
      </c>
      <c r="H91" s="4">
        <v>-8.0000000000000004E-4</v>
      </c>
      <c r="I91" s="4">
        <v>3.4999999999999996E-3</v>
      </c>
      <c r="J91" s="4">
        <v>1.1899999999999999E-2</v>
      </c>
      <c r="K91" s="4">
        <v>2.4900000000000002E-2</v>
      </c>
      <c r="L91" s="4">
        <v>2.8399999999999998E-2</v>
      </c>
      <c r="M91" s="4">
        <f>L91-K91</f>
        <v>3.4999999999999962E-3</v>
      </c>
      <c r="N91" s="4">
        <f>K91-J91</f>
        <v>1.3000000000000003E-2</v>
      </c>
      <c r="O91" s="4">
        <f>L91-J91</f>
        <v>1.6500000000000001E-2</v>
      </c>
    </row>
    <row r="92" spans="1:15" x14ac:dyDescent="0.25">
      <c r="A92" s="3">
        <v>44743</v>
      </c>
      <c r="B92">
        <v>24521365</v>
      </c>
      <c r="C92" t="s">
        <v>38</v>
      </c>
      <c r="D92" t="s">
        <v>139</v>
      </c>
      <c r="E92" s="4">
        <v>4.9158000000000006E-3</v>
      </c>
      <c r="F92" s="4">
        <v>4.9173000000000003E-3</v>
      </c>
      <c r="G92" s="4">
        <v>4.9192000000000003E-3</v>
      </c>
      <c r="H92" s="4">
        <v>6.3700000000000007E-2</v>
      </c>
      <c r="I92" s="4">
        <v>8.4000000000000005E-2</v>
      </c>
      <c r="J92" s="4">
        <v>1.34E-2</v>
      </c>
      <c r="K92" s="4">
        <v>2.35E-2</v>
      </c>
      <c r="L92" s="4">
        <v>2.5499999999999998E-2</v>
      </c>
      <c r="M92" s="4">
        <f>L92-K92</f>
        <v>1.9999999999999983E-3</v>
      </c>
      <c r="N92" s="4">
        <f>K92-J92</f>
        <v>1.01E-2</v>
      </c>
      <c r="O92" s="4">
        <f>L92-J92</f>
        <v>1.2099999999999998E-2</v>
      </c>
    </row>
    <row r="93" spans="1:15" x14ac:dyDescent="0.25">
      <c r="A93" s="3">
        <v>44774</v>
      </c>
      <c r="B93">
        <v>24593045</v>
      </c>
      <c r="C93" t="s">
        <v>37</v>
      </c>
      <c r="D93" t="s">
        <v>138</v>
      </c>
      <c r="E93" s="4">
        <v>4.9094999999999998E-3</v>
      </c>
      <c r="F93" s="4">
        <v>4.9159E-3</v>
      </c>
      <c r="G93" s="4">
        <v>4.9202000000000004E-3</v>
      </c>
      <c r="H93" s="4">
        <v>0.1452</v>
      </c>
      <c r="I93" s="4">
        <v>0.10099999999999999</v>
      </c>
      <c r="J93" s="4">
        <v>1.2699999999999999E-2</v>
      </c>
      <c r="K93" s="4">
        <v>2.06E-2</v>
      </c>
      <c r="L93" s="4">
        <v>2.4799999999999999E-2</v>
      </c>
      <c r="M93" s="4">
        <f>L93-K93</f>
        <v>4.1999999999999989E-3</v>
      </c>
      <c r="N93" s="4">
        <f>K93-J93</f>
        <v>7.9000000000000008E-3</v>
      </c>
      <c r="O93" s="4">
        <f>L93-J93</f>
        <v>1.21E-2</v>
      </c>
    </row>
    <row r="94" spans="1:15" x14ac:dyDescent="0.25">
      <c r="A94" s="3">
        <v>44805</v>
      </c>
      <c r="B94">
        <v>24590623</v>
      </c>
      <c r="C94" t="s">
        <v>36</v>
      </c>
      <c r="D94" t="s">
        <v>137</v>
      </c>
      <c r="E94" s="4">
        <v>6.6930000000000002E-3</v>
      </c>
      <c r="F94" s="4">
        <v>5.5149999999999999E-3</v>
      </c>
      <c r="G94" s="4">
        <v>5.2205999999999997E-3</v>
      </c>
      <c r="H94" s="4">
        <v>3.3599999999999998E-2</v>
      </c>
      <c r="I94" s="4">
        <v>6.4000000000000001E-2</v>
      </c>
      <c r="J94" s="4">
        <v>1.8200000000000001E-2</v>
      </c>
      <c r="K94" s="4">
        <v>3.0499999999999999E-2</v>
      </c>
      <c r="L94" s="4">
        <v>3.1099999999999999E-2</v>
      </c>
      <c r="M94" s="4">
        <f>L94-K94</f>
        <v>5.9999999999999984E-4</v>
      </c>
      <c r="N94" s="4">
        <f>K94-J94</f>
        <v>1.2299999999999998E-2</v>
      </c>
      <c r="O94" s="4">
        <f>L94-J94</f>
        <v>1.2899999999999998E-2</v>
      </c>
    </row>
    <row r="95" spans="1:15" x14ac:dyDescent="0.25">
      <c r="A95" s="3">
        <v>44835</v>
      </c>
      <c r="B95">
        <v>24728608</v>
      </c>
      <c r="C95" t="s">
        <v>35</v>
      </c>
      <c r="D95" t="s">
        <v>136</v>
      </c>
      <c r="E95" s="4">
        <v>7.8160999999999994E-3</v>
      </c>
      <c r="F95" s="4">
        <v>6.4864999999999992E-3</v>
      </c>
      <c r="G95" s="4">
        <v>5.7187000000000002E-3</v>
      </c>
      <c r="H95" s="4">
        <v>-3.7100000000000001E-2</v>
      </c>
      <c r="I95" s="4">
        <v>1.2E-2</v>
      </c>
      <c r="J95" s="4">
        <v>1.77E-2</v>
      </c>
      <c r="K95" s="4">
        <v>2.7799999999999998E-2</v>
      </c>
      <c r="L95" s="4">
        <v>3.1200000000000002E-2</v>
      </c>
      <c r="M95" s="4">
        <f>L95-K95</f>
        <v>3.4000000000000037E-3</v>
      </c>
      <c r="N95" s="4">
        <f>K95-J95</f>
        <v>1.0099999999999998E-2</v>
      </c>
      <c r="O95" s="4">
        <f>L95-J95</f>
        <v>1.3500000000000002E-2</v>
      </c>
    </row>
    <row r="96" spans="1:15" x14ac:dyDescent="0.25">
      <c r="A96" s="3">
        <v>44866</v>
      </c>
      <c r="B96">
        <v>24956718</v>
      </c>
      <c r="C96" t="s">
        <v>34</v>
      </c>
      <c r="D96" t="s">
        <v>136</v>
      </c>
      <c r="E96" s="4">
        <v>9.9045999999999995E-3</v>
      </c>
      <c r="F96" s="4">
        <v>8.0972000000000006E-3</v>
      </c>
      <c r="G96" s="4">
        <v>6.5290000000000001E-3</v>
      </c>
      <c r="H96" s="4">
        <v>-5.5999999999999994E-2</v>
      </c>
      <c r="I96" s="4">
        <v>-3.7000000000000005E-2</v>
      </c>
      <c r="J96" s="4">
        <v>1.6E-2</v>
      </c>
      <c r="K96" s="4">
        <v>2.3199999999999998E-2</v>
      </c>
      <c r="L96" s="4">
        <v>2.6200000000000001E-2</v>
      </c>
      <c r="M96" s="4">
        <f>L96-K96</f>
        <v>3.0000000000000027E-3</v>
      </c>
      <c r="N96" s="4">
        <f>K96-J96</f>
        <v>7.1999999999999981E-3</v>
      </c>
      <c r="O96" s="4">
        <f>L96-J96</f>
        <v>1.0200000000000001E-2</v>
      </c>
    </row>
    <row r="97" spans="1:15" x14ac:dyDescent="0.25">
      <c r="A97" s="3">
        <v>44896</v>
      </c>
      <c r="B97">
        <v>25001879</v>
      </c>
      <c r="C97" t="s">
        <v>33</v>
      </c>
      <c r="D97" t="s">
        <v>135</v>
      </c>
      <c r="E97" s="4">
        <v>9.9994000000000003E-3</v>
      </c>
      <c r="F97" s="4">
        <v>9.2040999999999998E-3</v>
      </c>
      <c r="G97" s="4">
        <v>7.3558999999999994E-3</v>
      </c>
      <c r="H97" s="4">
        <v>-8.1900000000000001E-2</v>
      </c>
      <c r="I97" s="4">
        <v>-0.06</v>
      </c>
      <c r="J97" s="4">
        <v>1.2500000000000001E-2</v>
      </c>
      <c r="K97" s="4">
        <v>2.0400000000000001E-2</v>
      </c>
      <c r="L97" s="4">
        <v>2.52E-2</v>
      </c>
      <c r="M97" s="4">
        <f>L97-K97</f>
        <v>4.7999999999999987E-3</v>
      </c>
      <c r="N97" s="4">
        <f>K97-J97</f>
        <v>7.9000000000000008E-3</v>
      </c>
      <c r="O97" s="4">
        <f>L97-J97</f>
        <v>1.2699999999999999E-2</v>
      </c>
    </row>
    <row r="98" spans="1:15" x14ac:dyDescent="0.25">
      <c r="A98" s="3">
        <v>44927</v>
      </c>
      <c r="B98">
        <v>24975379</v>
      </c>
      <c r="C98" t="s">
        <v>32</v>
      </c>
      <c r="D98" t="s">
        <v>134</v>
      </c>
      <c r="E98" s="4">
        <v>1.2434300000000001E-2</v>
      </c>
      <c r="F98" s="4">
        <v>1.0852599999999999E-2</v>
      </c>
      <c r="G98" s="4">
        <v>8.6550000000000012E-3</v>
      </c>
      <c r="H98" s="4">
        <v>-4.3499999999999997E-2</v>
      </c>
      <c r="I98" s="4">
        <v>-0.05</v>
      </c>
      <c r="J98" s="4">
        <v>1.8600000000000002E-2</v>
      </c>
      <c r="K98" s="4">
        <v>2.0199999999999999E-2</v>
      </c>
      <c r="L98" s="4">
        <v>2.4700000000000003E-2</v>
      </c>
      <c r="M98" s="4">
        <f>L98-K98</f>
        <v>4.500000000000004E-3</v>
      </c>
      <c r="N98" s="4">
        <f>K98-J98</f>
        <v>1.5999999999999973E-3</v>
      </c>
      <c r="O98" s="4">
        <f>L98-J98</f>
        <v>6.1000000000000013E-3</v>
      </c>
    </row>
    <row r="99" spans="1:15" x14ac:dyDescent="0.25">
      <c r="A99" s="3">
        <v>44958</v>
      </c>
      <c r="B99">
        <v>25122900</v>
      </c>
      <c r="C99" t="s">
        <v>31</v>
      </c>
      <c r="D99" t="s">
        <v>133</v>
      </c>
      <c r="E99" s="4">
        <v>1.30362E-2</v>
      </c>
      <c r="F99" s="4">
        <v>1.1841600000000001E-2</v>
      </c>
      <c r="G99" s="4">
        <v>9.9814999999999991E-3</v>
      </c>
      <c r="H99" s="4">
        <v>-2.7099999999999999E-2</v>
      </c>
      <c r="I99" s="4">
        <v>-2.7999999999999997E-2</v>
      </c>
      <c r="J99" s="4">
        <v>2.1299999999999999E-2</v>
      </c>
      <c r="K99" s="4">
        <v>2.2200000000000001E-2</v>
      </c>
      <c r="L99" s="4">
        <v>2.5600000000000001E-2</v>
      </c>
      <c r="M99" s="4">
        <f>L99-K99</f>
        <v>3.4000000000000002E-3</v>
      </c>
      <c r="N99" s="4">
        <f>K99-J99</f>
        <v>9.0000000000000149E-4</v>
      </c>
      <c r="O99" s="4">
        <f>L99-J99</f>
        <v>4.3000000000000017E-3</v>
      </c>
    </row>
    <row r="100" spans="1:15" x14ac:dyDescent="0.25">
      <c r="A100" s="3">
        <v>44986</v>
      </c>
      <c r="B100">
        <v>25234947</v>
      </c>
      <c r="C100" t="s">
        <v>30</v>
      </c>
      <c r="D100" t="s">
        <v>132</v>
      </c>
      <c r="E100" s="4">
        <v>1.49351E-2</v>
      </c>
      <c r="F100" s="4">
        <v>1.3421000000000001E-2</v>
      </c>
      <c r="G100" s="4">
        <v>1.13162E-2</v>
      </c>
      <c r="H100" s="4">
        <v>-4.5599999999999995E-2</v>
      </c>
      <c r="I100" s="4">
        <v>-3.6499999999999998E-2</v>
      </c>
      <c r="J100" s="4">
        <v>2.0299999999999999E-2</v>
      </c>
      <c r="K100" s="4">
        <v>2.07E-2</v>
      </c>
      <c r="L100" s="4">
        <v>2.3799999999999998E-2</v>
      </c>
      <c r="M100" s="4">
        <f>L100-K100</f>
        <v>3.0999999999999986E-3</v>
      </c>
      <c r="N100" s="4">
        <f>K100-J100</f>
        <v>4.0000000000000105E-4</v>
      </c>
      <c r="O100" s="4">
        <f>L100-J100</f>
        <v>3.4999999999999996E-3</v>
      </c>
    </row>
    <row r="101" spans="1:15" x14ac:dyDescent="0.25">
      <c r="A101" s="3">
        <v>45017</v>
      </c>
      <c r="B101">
        <v>25199189</v>
      </c>
      <c r="C101" t="s">
        <v>29</v>
      </c>
      <c r="D101" t="s">
        <v>131</v>
      </c>
      <c r="E101" s="4">
        <v>1.5339400000000001E-2</v>
      </c>
      <c r="F101" s="4">
        <v>1.448E-2</v>
      </c>
      <c r="G101" s="4">
        <v>1.2665900000000001E-2</v>
      </c>
      <c r="H101" s="4">
        <v>-8.14E-2</v>
      </c>
      <c r="I101" s="4">
        <v>-0.02</v>
      </c>
      <c r="J101" s="4">
        <v>2.2200000000000001E-2</v>
      </c>
      <c r="K101" s="4">
        <v>2.1499999999999998E-2</v>
      </c>
      <c r="L101" s="4">
        <v>2.5099999999999997E-2</v>
      </c>
      <c r="M101" s="4">
        <f>L101-K101</f>
        <v>3.599999999999999E-3</v>
      </c>
      <c r="N101" s="4">
        <f>K101-J101</f>
        <v>-7.000000000000027E-4</v>
      </c>
      <c r="O101" s="4">
        <f>L101-J101</f>
        <v>2.8999999999999963E-3</v>
      </c>
    </row>
    <row r="102" spans="1:15" x14ac:dyDescent="0.25">
      <c r="A102" s="3">
        <v>45047</v>
      </c>
      <c r="B102">
        <v>25093785</v>
      </c>
      <c r="C102" t="s">
        <v>28</v>
      </c>
      <c r="D102" t="s">
        <v>130</v>
      </c>
      <c r="E102" s="4">
        <v>1.7417700000000001E-2</v>
      </c>
      <c r="F102" s="4">
        <v>1.5905599999999999E-2</v>
      </c>
      <c r="G102" s="4">
        <v>1.3891300000000001E-2</v>
      </c>
      <c r="H102" s="4">
        <v>-3.1400000000000004E-2</v>
      </c>
      <c r="I102" s="4">
        <v>-4.4999999999999998E-2</v>
      </c>
      <c r="J102" s="4">
        <v>2.23E-2</v>
      </c>
      <c r="K102" s="4">
        <v>2.2599999999999999E-2</v>
      </c>
      <c r="L102" s="4">
        <v>2.5600000000000001E-2</v>
      </c>
      <c r="M102" s="4">
        <f>L102-K102</f>
        <v>3.0000000000000027E-3</v>
      </c>
      <c r="N102" s="4">
        <f>K102-J102</f>
        <v>2.9999999999999818E-4</v>
      </c>
      <c r="O102" s="4">
        <f>L102-J102</f>
        <v>3.3000000000000008E-3</v>
      </c>
    </row>
    <row r="103" spans="1:15" x14ac:dyDescent="0.25">
      <c r="A103" s="3">
        <v>45078</v>
      </c>
      <c r="B103">
        <v>24973778</v>
      </c>
      <c r="C103" t="s">
        <v>27</v>
      </c>
      <c r="D103" t="s">
        <v>129</v>
      </c>
      <c r="E103" s="4">
        <v>1.75078E-2</v>
      </c>
      <c r="F103" s="4">
        <v>1.6716700000000001E-2</v>
      </c>
      <c r="G103" s="4">
        <v>1.5114900000000001E-2</v>
      </c>
      <c r="H103" s="4">
        <v>-5.2400000000000002E-2</v>
      </c>
      <c r="I103" s="4">
        <v>-2.5000000000000001E-2</v>
      </c>
      <c r="J103" s="4">
        <v>2.0899999999999998E-2</v>
      </c>
      <c r="K103" s="4">
        <v>2.3399999999999997E-2</v>
      </c>
      <c r="L103" s="4">
        <v>2.52E-2</v>
      </c>
      <c r="M103" s="4">
        <f>L103-K103</f>
        <v>1.800000000000003E-3</v>
      </c>
      <c r="N103" s="4">
        <f>K103-J103</f>
        <v>2.4999999999999988E-3</v>
      </c>
      <c r="O103" s="4">
        <f>L103-J103</f>
        <v>4.3000000000000017E-3</v>
      </c>
    </row>
    <row r="104" spans="1:15" x14ac:dyDescent="0.25">
      <c r="A104" s="3">
        <v>45108</v>
      </c>
      <c r="B104">
        <v>24919069</v>
      </c>
      <c r="C104" t="s">
        <v>26</v>
      </c>
      <c r="D104" t="s">
        <v>114</v>
      </c>
      <c r="E104" s="4">
        <v>1.9939999999999999E-2</v>
      </c>
      <c r="F104" s="4">
        <v>1.8362300000000002E-2</v>
      </c>
      <c r="G104" s="4">
        <v>1.6464799999999998E-2</v>
      </c>
      <c r="H104" s="4">
        <v>-4.4299999999999999E-2</v>
      </c>
      <c r="I104" s="4">
        <v>-0.04</v>
      </c>
      <c r="J104" s="4">
        <v>2.0799999999999999E-2</v>
      </c>
      <c r="K104" s="4">
        <v>2.4E-2</v>
      </c>
      <c r="L104" s="4">
        <v>2.5699999999999997E-2</v>
      </c>
      <c r="M104" s="4">
        <f>L104-K104</f>
        <v>1.6999999999999967E-3</v>
      </c>
      <c r="N104" s="4">
        <f>K104-J104</f>
        <v>3.2000000000000015E-3</v>
      </c>
      <c r="O104" s="4">
        <f>L104-J104</f>
        <v>4.8999999999999981E-3</v>
      </c>
    </row>
    <row r="105" spans="1:15" x14ac:dyDescent="0.25">
      <c r="A105" s="3">
        <v>45139</v>
      </c>
      <c r="B105">
        <v>24907324</v>
      </c>
      <c r="C105" t="s">
        <v>25</v>
      </c>
      <c r="D105" t="s">
        <v>128</v>
      </c>
      <c r="E105" s="4">
        <v>1.9938000000000001E-2</v>
      </c>
      <c r="F105" s="4">
        <v>1.9177099999999999E-2</v>
      </c>
      <c r="G105" s="4">
        <v>1.7606299999999998E-2</v>
      </c>
      <c r="H105" s="4">
        <v>-7.5300000000000006E-2</v>
      </c>
      <c r="I105" s="4">
        <v>-6.5000000000000002E-2</v>
      </c>
      <c r="J105" s="4">
        <v>2.1099999999999997E-2</v>
      </c>
      <c r="K105" s="4">
        <v>2.4300000000000002E-2</v>
      </c>
      <c r="L105" s="4">
        <v>2.6000000000000002E-2</v>
      </c>
      <c r="M105" s="4">
        <f>L105-K105</f>
        <v>1.7000000000000001E-3</v>
      </c>
      <c r="N105" s="4">
        <f>K105-J105</f>
        <v>3.2000000000000049E-3</v>
      </c>
      <c r="O105" s="4">
        <f>L105-J105</f>
        <v>4.900000000000005E-3</v>
      </c>
    </row>
    <row r="106" spans="1:15" x14ac:dyDescent="0.25">
      <c r="A106" s="3">
        <v>45170</v>
      </c>
      <c r="B106">
        <v>25029515</v>
      </c>
      <c r="C106" t="s">
        <v>24</v>
      </c>
      <c r="D106" t="s">
        <v>13</v>
      </c>
      <c r="E106" s="4">
        <v>2.2443100000000001E-2</v>
      </c>
      <c r="F106" s="4">
        <v>2.0791900000000002E-2</v>
      </c>
      <c r="G106" s="4">
        <v>1.8798099999999998E-2</v>
      </c>
      <c r="H106" s="4">
        <v>-6.0599999999999994E-2</v>
      </c>
      <c r="I106" s="4">
        <v>-0.05</v>
      </c>
      <c r="J106" s="4">
        <v>2.5099999999999997E-2</v>
      </c>
      <c r="K106" s="4">
        <v>2.81E-2</v>
      </c>
      <c r="L106" s="4">
        <v>3.1699999999999999E-2</v>
      </c>
      <c r="M106" s="4">
        <f>L106-K106</f>
        <v>3.599999999999999E-3</v>
      </c>
      <c r="N106" s="4">
        <f>K106-J106</f>
        <v>3.0000000000000027E-3</v>
      </c>
      <c r="O106" s="4">
        <f>L106-J106</f>
        <v>6.6000000000000017E-3</v>
      </c>
    </row>
    <row r="107" spans="1:15" x14ac:dyDescent="0.25">
      <c r="A107" s="3">
        <v>45200</v>
      </c>
      <c r="B107">
        <v>25156438</v>
      </c>
      <c r="C107" t="s">
        <v>23</v>
      </c>
      <c r="D107" t="s">
        <v>127</v>
      </c>
      <c r="E107" s="4">
        <v>2.28434E-2</v>
      </c>
      <c r="F107" s="4">
        <v>2.17929E-2</v>
      </c>
      <c r="G107" s="4">
        <v>2.01275E-2</v>
      </c>
      <c r="H107" s="4">
        <v>-4.2900000000000001E-2</v>
      </c>
      <c r="I107" s="4">
        <v>-2.5000000000000001E-2</v>
      </c>
      <c r="J107" s="4">
        <v>2.4900000000000002E-2</v>
      </c>
      <c r="K107" s="4">
        <v>2.7839999999999997E-2</v>
      </c>
      <c r="L107" s="4">
        <v>3.2300000000000002E-2</v>
      </c>
      <c r="M107" s="4">
        <f>L107-K107</f>
        <v>4.4600000000000056E-3</v>
      </c>
      <c r="N107" s="4">
        <f>K107-J107</f>
        <v>2.9399999999999947E-3</v>
      </c>
      <c r="O107" s="4">
        <f>L107-J107</f>
        <v>7.4000000000000003E-3</v>
      </c>
    </row>
    <row r="108" spans="1:15" x14ac:dyDescent="0.25">
      <c r="A108" s="3">
        <v>45231</v>
      </c>
      <c r="B108">
        <v>25324709</v>
      </c>
      <c r="C108" t="s">
        <v>22</v>
      </c>
      <c r="D108" t="s">
        <v>126</v>
      </c>
      <c r="E108" s="4">
        <v>2.49348E-2</v>
      </c>
      <c r="F108" s="4">
        <v>2.3446399999999999E-2</v>
      </c>
      <c r="G108" s="4">
        <v>2.13565E-2</v>
      </c>
      <c r="H108" s="4">
        <v>-4.7100000000000003E-2</v>
      </c>
      <c r="I108" s="4">
        <v>-0.04</v>
      </c>
      <c r="J108" s="4">
        <v>2.3900000000000001E-2</v>
      </c>
      <c r="K108" s="4">
        <v>2.6600000000000002E-2</v>
      </c>
      <c r="L108" s="4">
        <v>2.98E-2</v>
      </c>
      <c r="M108" s="4">
        <f>L108-K108</f>
        <v>3.199999999999998E-3</v>
      </c>
      <c r="N108" s="4">
        <f>K108-J108</f>
        <v>2.700000000000001E-3</v>
      </c>
      <c r="O108" s="4">
        <f>L108-J108</f>
        <v>5.899999999999999E-3</v>
      </c>
    </row>
    <row r="109" spans="1:15" x14ac:dyDescent="0.25">
      <c r="A109" s="3">
        <v>45261</v>
      </c>
      <c r="B109">
        <v>25481698</v>
      </c>
      <c r="C109" t="s">
        <v>21</v>
      </c>
      <c r="D109" t="s">
        <v>125</v>
      </c>
      <c r="E109" s="4">
        <v>2.49483E-2</v>
      </c>
      <c r="F109" s="4">
        <v>2.4275600000000001E-2</v>
      </c>
      <c r="G109" s="4">
        <v>2.25875E-2</v>
      </c>
      <c r="H109" s="4">
        <v>-6.2699999999999992E-2</v>
      </c>
      <c r="I109" s="4">
        <v>-3.2000000000000001E-2</v>
      </c>
      <c r="J109" s="4">
        <v>2.3599999999999999E-2</v>
      </c>
      <c r="K109" s="4">
        <v>2.6619999999999998E-2</v>
      </c>
      <c r="L109" s="4">
        <v>2.69E-2</v>
      </c>
      <c r="M109" s="4">
        <f>L109-K109</f>
        <v>2.8000000000000247E-4</v>
      </c>
      <c r="N109" s="4">
        <f>K109-J109</f>
        <v>3.0199999999999984E-3</v>
      </c>
      <c r="O109" s="4">
        <f>L109-J109</f>
        <v>3.3000000000000008E-3</v>
      </c>
    </row>
    <row r="110" spans="1:15" x14ac:dyDescent="0.25">
      <c r="A110" s="3">
        <v>45292</v>
      </c>
      <c r="B110">
        <v>25558611</v>
      </c>
      <c r="C110" t="s">
        <v>20</v>
      </c>
      <c r="D110" t="s">
        <v>125</v>
      </c>
      <c r="E110" s="4">
        <v>2.4953599999999999E-2</v>
      </c>
      <c r="F110" s="4">
        <v>2.4997999999999999E-2</v>
      </c>
      <c r="G110" s="4">
        <v>2.3472499999999997E-2</v>
      </c>
      <c r="H110" s="4">
        <v>-2.9399999999999999E-2</v>
      </c>
      <c r="I110" s="4">
        <v>-5.0999999999999997E-2</v>
      </c>
      <c r="J110" s="4">
        <v>2.4E-2</v>
      </c>
      <c r="K110" s="4">
        <v>2.3700000000000002E-2</v>
      </c>
      <c r="L110" s="4">
        <v>2.6549999999999997E-2</v>
      </c>
      <c r="M110" s="4">
        <f>L110-K110</f>
        <v>2.8499999999999949E-3</v>
      </c>
      <c r="N110" s="4">
        <f>K110-J110</f>
        <v>-2.9999999999999818E-4</v>
      </c>
      <c r="O110" s="4">
        <f>L110-J110</f>
        <v>2.5499999999999967E-3</v>
      </c>
    </row>
    <row r="111" spans="1:15" x14ac:dyDescent="0.25">
      <c r="A111" s="3">
        <v>45323</v>
      </c>
      <c r="B111">
        <v>25763937</v>
      </c>
      <c r="C111" t="s">
        <v>19</v>
      </c>
      <c r="D111" t="s">
        <v>124</v>
      </c>
      <c r="E111" s="4">
        <v>2.4951299999999999E-2</v>
      </c>
      <c r="F111" s="4">
        <v>2.5003399999999999E-2</v>
      </c>
      <c r="G111" s="4">
        <v>2.43027E-2</v>
      </c>
      <c r="H111" s="4">
        <v>-2.8399999999999998E-2</v>
      </c>
      <c r="I111" s="4">
        <v>-3.9E-2</v>
      </c>
      <c r="J111" s="4">
        <v>2.368E-2</v>
      </c>
      <c r="K111" s="4">
        <v>2.2700000000000001E-2</v>
      </c>
      <c r="L111" s="4">
        <v>2.58E-2</v>
      </c>
      <c r="M111" s="4">
        <f>L111-K111</f>
        <v>3.0999999999999986E-3</v>
      </c>
      <c r="N111" s="4">
        <f>K111-J111</f>
        <v>-9.7999999999999823E-4</v>
      </c>
      <c r="O111" s="4">
        <f>L111-J111</f>
        <v>2.1200000000000004E-3</v>
      </c>
    </row>
    <row r="112" spans="1:15" x14ac:dyDescent="0.25">
      <c r="A112" s="3">
        <v>45352</v>
      </c>
      <c r="B112">
        <v>25863230</v>
      </c>
      <c r="C112" t="s">
        <v>18</v>
      </c>
      <c r="D112" t="s">
        <v>123</v>
      </c>
      <c r="E112" s="4">
        <v>2.4961199999999999E-2</v>
      </c>
      <c r="F112" s="4">
        <v>2.5007000000000001E-2</v>
      </c>
      <c r="G112" s="4">
        <v>2.4716999999999999E-2</v>
      </c>
      <c r="H112" s="4">
        <v>-5.1299999999999998E-2</v>
      </c>
      <c r="I112" s="4">
        <v>-1.9E-2</v>
      </c>
      <c r="J112" s="4">
        <v>2.368E-2</v>
      </c>
      <c r="K112" s="4">
        <v>2.2550000000000001E-2</v>
      </c>
      <c r="L112" s="4">
        <v>2.5249999999999998E-2</v>
      </c>
      <c r="M112" s="4">
        <f>L112-K112</f>
        <v>2.6999999999999975E-3</v>
      </c>
      <c r="N112" s="4">
        <f>K112-J112</f>
        <v>-1.1299999999999991E-3</v>
      </c>
      <c r="O112" s="4">
        <f>L112-J112</f>
        <v>1.5699999999999985E-3</v>
      </c>
    </row>
    <row r="113" spans="1:15" x14ac:dyDescent="0.25">
      <c r="A113" s="3">
        <v>45383</v>
      </c>
      <c r="B113">
        <v>25857034</v>
      </c>
      <c r="C113" t="s">
        <v>17</v>
      </c>
      <c r="D113" t="s">
        <v>122</v>
      </c>
      <c r="E113" s="4">
        <v>2.4961000000000001E-2</v>
      </c>
      <c r="F113" s="4">
        <v>2.5009100000000003E-2</v>
      </c>
      <c r="G113" s="4">
        <v>2.50814E-2</v>
      </c>
      <c r="H113" s="4">
        <v>3.4300000000000004E-2</v>
      </c>
      <c r="I113" s="4">
        <v>-1.1000000000000001E-2</v>
      </c>
      <c r="J113" s="4">
        <v>2.368E-2</v>
      </c>
      <c r="K113" s="4">
        <v>2.58E-2</v>
      </c>
      <c r="L113" s="4">
        <v>2.8199999999999999E-2</v>
      </c>
      <c r="M113" s="4">
        <f>L113-K113</f>
        <v>2.3999999999999994E-3</v>
      </c>
      <c r="N113" s="4">
        <f>K113-J113</f>
        <v>2.1200000000000004E-3</v>
      </c>
      <c r="O113" s="4">
        <f>L113-J113</f>
        <v>4.5199999999999997E-3</v>
      </c>
    </row>
    <row r="114" spans="1:15" x14ac:dyDescent="0.25">
      <c r="A114" s="3">
        <v>45413</v>
      </c>
      <c r="B114">
        <v>25863207</v>
      </c>
      <c r="C114" t="s">
        <v>16</v>
      </c>
      <c r="D114" t="s">
        <v>17</v>
      </c>
      <c r="E114" s="4">
        <v>2.4950800000000002E-2</v>
      </c>
      <c r="F114" s="4">
        <v>2.50084E-2</v>
      </c>
      <c r="G114" s="4">
        <v>2.5083999999999999E-2</v>
      </c>
      <c r="H114" s="4">
        <v>-1.54E-2</v>
      </c>
      <c r="I114" s="4">
        <v>1.3500000000000002E-2</v>
      </c>
      <c r="J114" s="4">
        <v>2.368E-2</v>
      </c>
      <c r="K114" s="4">
        <v>2.52E-2</v>
      </c>
      <c r="L114" s="4">
        <v>2.8149999999999998E-2</v>
      </c>
      <c r="M114" s="4">
        <f>L114-K114</f>
        <v>2.9499999999999978E-3</v>
      </c>
      <c r="N114" s="4">
        <f>K114-J114</f>
        <v>1.5200000000000005E-3</v>
      </c>
      <c r="O114" s="4">
        <f>L114-J114</f>
        <v>4.4699999999999983E-3</v>
      </c>
    </row>
    <row r="115" spans="1:15" x14ac:dyDescent="0.25">
      <c r="A115" s="3">
        <v>45444</v>
      </c>
      <c r="B115">
        <v>25718898</v>
      </c>
      <c r="C115" t="s">
        <v>15</v>
      </c>
      <c r="D115" t="s">
        <v>121</v>
      </c>
      <c r="E115" s="4">
        <v>2.4938200000000001E-2</v>
      </c>
      <c r="F115" s="4">
        <v>2.5001199999999998E-2</v>
      </c>
      <c r="G115" s="4">
        <v>2.50832E-2</v>
      </c>
      <c r="H115" s="4">
        <v>-1.7100000000000001E-2</v>
      </c>
      <c r="I115" s="4">
        <v>-1.4999999999999999E-2</v>
      </c>
      <c r="J115" s="4">
        <v>2.368E-2</v>
      </c>
      <c r="K115" s="4">
        <v>2.5000000000000001E-2</v>
      </c>
      <c r="L115" s="4">
        <v>2.6849999999999999E-2</v>
      </c>
      <c r="M115" s="4">
        <f>L115-K115</f>
        <v>1.8499999999999975E-3</v>
      </c>
      <c r="N115" s="4">
        <f>K115-J115</f>
        <v>1.3200000000000017E-3</v>
      </c>
      <c r="O115" s="4">
        <f>L115-J115</f>
        <v>3.1699999999999992E-3</v>
      </c>
    </row>
    <row r="116" spans="1:15" x14ac:dyDescent="0.25">
      <c r="A116" s="3">
        <v>45474</v>
      </c>
      <c r="B116">
        <v>25715191</v>
      </c>
      <c r="C116" t="s">
        <v>14</v>
      </c>
      <c r="D116" t="s">
        <v>120</v>
      </c>
      <c r="E116" s="4">
        <v>2.4940199999999999E-2</v>
      </c>
      <c r="F116" s="4">
        <v>2.4995E-2</v>
      </c>
      <c r="G116" s="4">
        <v>2.5079500000000001E-2</v>
      </c>
      <c r="H116" s="4">
        <v>1.7899999999999999E-2</v>
      </c>
      <c r="I116" s="4">
        <v>-6.9999999999999993E-3</v>
      </c>
      <c r="J116" s="4">
        <v>2.368E-2</v>
      </c>
      <c r="K116" s="4">
        <v>2.3450000000000002E-2</v>
      </c>
      <c r="L116" s="4">
        <v>2.5899999999999999E-2</v>
      </c>
      <c r="M116" s="4">
        <f>L116-K116</f>
        <v>2.4499999999999973E-3</v>
      </c>
      <c r="N116" s="4">
        <f>K116-J116</f>
        <v>-2.2999999999999757E-4</v>
      </c>
      <c r="O116" s="4">
        <f>L116-J116</f>
        <v>2.2199999999999998E-3</v>
      </c>
    </row>
    <row r="117" spans="1:15" x14ac:dyDescent="0.25">
      <c r="A117" s="3">
        <v>45505</v>
      </c>
      <c r="B117">
        <v>25575536</v>
      </c>
      <c r="C117" t="s">
        <v>12</v>
      </c>
      <c r="D117" t="s">
        <v>119</v>
      </c>
      <c r="E117" s="4">
        <v>2.4939100000000002E-2</v>
      </c>
      <c r="F117" s="4">
        <v>2.4991099999999999E-2</v>
      </c>
      <c r="G117" s="4">
        <v>2.5078100000000002E-2</v>
      </c>
      <c r="H117" s="4">
        <v>-1.9099999999999999E-2</v>
      </c>
      <c r="I117" s="4">
        <v>0.01</v>
      </c>
      <c r="J117" s="4">
        <v>2.4E-2</v>
      </c>
      <c r="K117" s="4">
        <v>2.3E-2</v>
      </c>
      <c r="L117" s="4">
        <v>2.5699999999999997E-2</v>
      </c>
      <c r="M117" s="4">
        <f>L117-K117</f>
        <v>2.6999999999999975E-3</v>
      </c>
      <c r="N117" s="4">
        <f>K117-J117</f>
        <v>-1.0000000000000009E-3</v>
      </c>
      <c r="O117" s="4">
        <f>L117-J117</f>
        <v>1.6999999999999967E-3</v>
      </c>
    </row>
    <row r="118" spans="1:15" x14ac:dyDescent="0.25"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25"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25"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25"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25"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25"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25"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25"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25"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25"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25"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</sheetData>
  <sortState xmlns:xlrd2="http://schemas.microsoft.com/office/spreadsheetml/2017/richdata2" ref="A2:O128">
    <sortCondition ref="A2:A1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Jirakavin Jivasantikarn</cp:lastModifiedBy>
  <dcterms:created xsi:type="dcterms:W3CDTF">2025-10-01T16:12:56Z</dcterms:created>
  <dcterms:modified xsi:type="dcterms:W3CDTF">2025-10-01T17:02:12Z</dcterms:modified>
</cp:coreProperties>
</file>