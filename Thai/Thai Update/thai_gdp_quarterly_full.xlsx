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ai GDP Quarter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<sst xmlns="http://schemas.openxmlformats.org/spreadsheetml/2006/main" count="65" uniqueCount="17">
  <si>
    <t xml:space="preserve">Year</t>
  </si>
  <si>
    <t xml:space="preserve">Quarter</t>
  </si>
  <si>
    <t xml:space="preserve">CUR_Agriculture</t>
  </si>
  <si>
    <t xml:space="preserve">CUR_Industrial</t>
  </si>
  <si>
    <t xml:space="preserve">CUR_Services</t>
  </si>
  <si>
    <t xml:space="preserve">Total_CUR</t>
  </si>
  <si>
    <t xml:space="preserve">CVM_Agriculture</t>
  </si>
  <si>
    <t xml:space="preserve">CVM_Industrial</t>
  </si>
  <si>
    <t xml:space="preserve">CVM_Services</t>
  </si>
  <si>
    <t xml:space="preserve">Total_CVM</t>
  </si>
  <si>
    <t xml:space="preserve">GDP_Growth_CUR (ln%)</t>
  </si>
  <si>
    <t xml:space="preserve">GDP_Growth_CVM (ln%)</t>
  </si>
  <si>
    <t xml:space="preserve">Q1</t>
  </si>
  <si>
    <t xml:space="preserve">N/A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</si>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</sst>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10" min="3" style="0" width="18"/>
    <col collapsed="false" customWidth="true" hidden="false" outlineLevel="0" max="12" min="11" style="0" width="2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2013</v>
      </c>
      <c r="B2" s="2" t="s">
        <v>12</v>
      </c>
      <c r="C2" s="3" t="n">
        <v>377024</v>
      </c>
      <c r="D2" s="3" t="n">
        <v>1133537</v>
      </c>
      <c r="E2" s="3" t="n">
        <v>1777022</v>
      </c>
      <c r="F2" s="3" t="n">
        <f aca="false">SUM(C2:E2)</f>
        <v>3287583</v>
      </c>
      <c r="G2" s="3" t="n">
        <v>180909</v>
      </c>
      <c r="H2" s="3" t="n">
        <v>836293</v>
      </c>
      <c r="I2" s="3" t="n">
        <v>1383351</v>
      </c>
      <c r="J2" s="3" t="n">
        <f aca="false">SUM(G2:I2)</f>
        <v>2400553</v>
      </c>
      <c r="K2" s="4" t="s">
        <v>13</v>
      </c>
      <c r="L2" s="4" t="s">
        <v>13</v>
      </c>
    </row>
    <row r="3" customFormat="false" ht="15" hidden="false" customHeight="false" outlineLevel="0" collapsed="false">
      <c r="A3" s="2" t="n">
        <v>2013</v>
      </c>
      <c r="B3" s="2" t="s">
        <v>14</v>
      </c>
      <c r="C3" s="3" t="n">
        <v>325723</v>
      </c>
      <c r="D3" s="3" t="n">
        <v>1088404</v>
      </c>
      <c r="E3" s="3" t="n">
        <v>1725717</v>
      </c>
      <c r="F3" s="3" t="n">
        <f aca="false">SUM(C3:E3)</f>
        <v>3139844</v>
      </c>
      <c r="G3" s="3" t="n">
        <v>137270</v>
      </c>
      <c r="H3" s="3" t="n">
        <v>789364</v>
      </c>
      <c r="I3" s="3" t="n">
        <v>1317089</v>
      </c>
      <c r="J3" s="3" t="n">
        <f aca="false">SUM(G3:I3)</f>
        <v>2243723</v>
      </c>
      <c r="K3" s="5" t="n">
        <f aca="false">LN(F3/F2)</f>
        <v>-0.0459795271761364</v>
      </c>
      <c r="L3" s="5" t="n">
        <f aca="false">LN(J3/J2)</f>
        <v>-0.0675625877228577</v>
      </c>
    </row>
    <row r="4" customFormat="false" ht="15" hidden="false" customHeight="false" outlineLevel="0" collapsed="false">
      <c r="A4" s="2" t="n">
        <v>2013</v>
      </c>
      <c r="B4" s="2" t="s">
        <v>15</v>
      </c>
      <c r="C4" s="3" t="n">
        <v>309472</v>
      </c>
      <c r="D4" s="3" t="n">
        <v>1093541</v>
      </c>
      <c r="E4" s="3" t="n">
        <v>1775266</v>
      </c>
      <c r="F4" s="3" t="n">
        <f aca="false">SUM(C4:E4)</f>
        <v>3178279</v>
      </c>
      <c r="G4" s="3" t="n">
        <v>120973</v>
      </c>
      <c r="H4" s="3" t="n">
        <v>760463</v>
      </c>
      <c r="I4" s="3" t="n">
        <v>1338672</v>
      </c>
      <c r="J4" s="3" t="n">
        <f aca="false">SUM(G4:I4)</f>
        <v>2220108</v>
      </c>
      <c r="K4" s="5" t="n">
        <f aca="false">LN(F4/F3)</f>
        <v>0.0121667381673447</v>
      </c>
      <c r="L4" s="5" t="n">
        <f aca="false">LN(J4/J3)</f>
        <v>-0.0105806964063363</v>
      </c>
    </row>
    <row r="5" customFormat="false" ht="15" hidden="false" customHeight="false" outlineLevel="0" collapsed="false">
      <c r="A5" s="2" t="n">
        <v>2013</v>
      </c>
      <c r="B5" s="2" t="s">
        <v>16</v>
      </c>
      <c r="C5" s="3" t="n">
        <v>450063</v>
      </c>
      <c r="D5" s="3" t="n">
        <v>1105243</v>
      </c>
      <c r="E5" s="3" t="n">
        <v>1754146</v>
      </c>
      <c r="F5" s="3" t="n">
        <f aca="false">SUM(C5:E5)</f>
        <v>3309452</v>
      </c>
      <c r="G5" s="3" t="n">
        <v>221213</v>
      </c>
      <c r="H5" s="3" t="n">
        <v>785376</v>
      </c>
      <c r="I5" s="3" t="n">
        <v>1312726</v>
      </c>
      <c r="J5" s="3" t="n">
        <f aca="false">SUM(G5:I5)</f>
        <v>2319315</v>
      </c>
      <c r="K5" s="5" t="n">
        <f aca="false">LN(F5/F4)</f>
        <v>0.0404427614455188</v>
      </c>
      <c r="L5" s="5" t="n">
        <f aca="false">LN(J5/J4)</f>
        <v>0.0437160401105909</v>
      </c>
    </row>
    <row r="6" customFormat="false" ht="15" hidden="false" customHeight="false" outlineLevel="0" collapsed="false">
      <c r="A6" s="2" t="n">
        <v>2014</v>
      </c>
      <c r="B6" s="2" t="s">
        <v>12</v>
      </c>
      <c r="C6" s="3" t="n">
        <v>362270</v>
      </c>
      <c r="D6" s="3" t="n">
        <v>1139934</v>
      </c>
      <c r="E6" s="3" t="n">
        <v>1819992</v>
      </c>
      <c r="F6" s="3" t="n">
        <f aca="false">SUM(C6:E6)</f>
        <v>3322196</v>
      </c>
      <c r="G6" s="3" t="n">
        <v>184691</v>
      </c>
      <c r="H6" s="3" t="n">
        <v>822274</v>
      </c>
      <c r="I6" s="3" t="n">
        <v>1382248.28312712</v>
      </c>
      <c r="J6" s="3" t="n">
        <f aca="false">SUM(G6:I6)</f>
        <v>2389213.28312712</v>
      </c>
      <c r="K6" s="5" t="n">
        <f aca="false">LN(F6/F5)</f>
        <v>0.0038433932824877</v>
      </c>
      <c r="L6" s="5" t="n">
        <f aca="false">LN(J6/J5)</f>
        <v>0.0296922580551839</v>
      </c>
    </row>
    <row r="7" customFormat="false" ht="15" hidden="false" customHeight="false" outlineLevel="0" collapsed="false">
      <c r="A7" s="2" t="n">
        <v>2014</v>
      </c>
      <c r="B7" s="2" t="s">
        <v>14</v>
      </c>
      <c r="C7" s="3" t="n">
        <v>313445</v>
      </c>
      <c r="D7" s="3" t="n">
        <v>1136229</v>
      </c>
      <c r="E7" s="3" t="n">
        <v>1793163</v>
      </c>
      <c r="F7" s="3" t="n">
        <f aca="false">SUM(C7:E7)</f>
        <v>3242837</v>
      </c>
      <c r="G7" s="3" t="n">
        <v>142093</v>
      </c>
      <c r="H7" s="3" t="n">
        <v>792819</v>
      </c>
      <c r="I7" s="3" t="n">
        <v>1325436.1892878</v>
      </c>
      <c r="J7" s="3" t="n">
        <f aca="false">SUM(G7:I7)</f>
        <v>2260348.1892878</v>
      </c>
      <c r="K7" s="5" t="n">
        <f aca="false">LN(F7/F6)</f>
        <v>-0.024177446093675</v>
      </c>
      <c r="L7" s="5" t="n">
        <f aca="false">LN(J7/J6)</f>
        <v>-0.055445274041516</v>
      </c>
    </row>
    <row r="8" customFormat="false" ht="15" hidden="false" customHeight="false" outlineLevel="0" collapsed="false">
      <c r="A8" s="2" t="n">
        <v>2014</v>
      </c>
      <c r="B8" s="2" t="s">
        <v>15</v>
      </c>
      <c r="C8" s="3" t="n">
        <v>267648</v>
      </c>
      <c r="D8" s="3" t="n">
        <v>1130797</v>
      </c>
      <c r="E8" s="3" t="n">
        <v>1859334</v>
      </c>
      <c r="F8" s="3" t="n">
        <f aca="false">SUM(C8:E8)</f>
        <v>3257779</v>
      </c>
      <c r="G8" s="3" t="n">
        <v>119166</v>
      </c>
      <c r="H8" s="3" t="n">
        <v>763785</v>
      </c>
      <c r="I8" s="3" t="n">
        <v>1363847.25273324</v>
      </c>
      <c r="J8" s="3" t="n">
        <f aca="false">SUM(G8:I8)</f>
        <v>2246798.25273324</v>
      </c>
      <c r="K8" s="5" t="n">
        <f aca="false">LN(F8/F7)</f>
        <v>0.00459711089368505</v>
      </c>
      <c r="L8" s="5" t="n">
        <f aca="false">LN(J8/J7)</f>
        <v>-0.00601266346697463</v>
      </c>
    </row>
    <row r="9" customFormat="false" ht="15" hidden="false" customHeight="false" outlineLevel="0" collapsed="false">
      <c r="A9" s="2" t="n">
        <v>2014</v>
      </c>
      <c r="B9" s="2" t="s">
        <v>16</v>
      </c>
      <c r="C9" s="3" t="n">
        <v>391432</v>
      </c>
      <c r="D9" s="3" t="n">
        <v>1119860</v>
      </c>
      <c r="E9" s="3" t="n">
        <v>1896200</v>
      </c>
      <c r="F9" s="3" t="n">
        <f aca="false">SUM(C9:E9)</f>
        <v>3407492</v>
      </c>
      <c r="G9" s="3" t="n">
        <v>212513</v>
      </c>
      <c r="H9" s="3" t="n">
        <v>795486</v>
      </c>
      <c r="I9" s="3" t="n">
        <v>1377238.27485184</v>
      </c>
      <c r="J9" s="3" t="n">
        <f aca="false">SUM(G9:I9)</f>
        <v>2385237.27485184</v>
      </c>
      <c r="K9" s="5" t="n">
        <f aca="false">LN(F9/F8)</f>
        <v>0.0449308619708125</v>
      </c>
      <c r="L9" s="5" t="n">
        <f aca="false">LN(J9/J8)</f>
        <v>0.059792401696101</v>
      </c>
    </row>
    <row r="10" customFormat="false" ht="15" hidden="false" customHeight="false" outlineLevel="0" collapsed="false">
      <c r="A10" s="2" t="n">
        <v>2015</v>
      </c>
      <c r="B10" s="2" t="s">
        <v>12</v>
      </c>
      <c r="C10" s="3" t="n">
        <v>324768</v>
      </c>
      <c r="D10" s="3" t="n">
        <v>1151423</v>
      </c>
      <c r="E10" s="3" t="n">
        <v>1955697</v>
      </c>
      <c r="F10" s="3" t="n">
        <f aca="false">SUM(C10:E10)</f>
        <v>3431888</v>
      </c>
      <c r="G10" s="3" t="n">
        <v>167102</v>
      </c>
      <c r="H10" s="3" t="n">
        <v>844674</v>
      </c>
      <c r="I10" s="3" t="n">
        <v>1465301.58354755</v>
      </c>
      <c r="J10" s="3" t="n">
        <f aca="false">SUM(G10:I10)</f>
        <v>2477077.58354755</v>
      </c>
      <c r="K10" s="5" t="n">
        <f aca="false">LN(F10/F9)</f>
        <v>0.00713401023707466</v>
      </c>
      <c r="L10" s="5" t="n">
        <f aca="false">LN(J10/J9)</f>
        <v>0.0377808658913296</v>
      </c>
    </row>
    <row r="11" customFormat="false" ht="15" hidden="false" customHeight="false" outlineLevel="0" collapsed="false">
      <c r="A11" s="2" t="n">
        <v>2015</v>
      </c>
      <c r="B11" s="2" t="s">
        <v>14</v>
      </c>
      <c r="C11" s="3" t="n">
        <v>278134</v>
      </c>
      <c r="D11" s="3" t="n">
        <v>1118742</v>
      </c>
      <c r="E11" s="3" t="n">
        <v>1936415</v>
      </c>
      <c r="F11" s="3" t="n">
        <f aca="false">SUM(C11:E11)</f>
        <v>3333291</v>
      </c>
      <c r="G11" s="3" t="n">
        <v>130198</v>
      </c>
      <c r="H11" s="3" t="n">
        <v>794495</v>
      </c>
      <c r="I11" s="3" t="n">
        <v>1407609.40308309</v>
      </c>
      <c r="J11" s="3" t="n">
        <f aca="false">SUM(G11:I11)</f>
        <v>2332302.40308309</v>
      </c>
      <c r="K11" s="5" t="n">
        <f aca="false">LN(F11/F10)</f>
        <v>-0.0291504428152899</v>
      </c>
      <c r="L11" s="5" t="n">
        <f aca="false">LN(J11/J10)</f>
        <v>-0.0602235360915629</v>
      </c>
    </row>
    <row r="12" customFormat="false" ht="15" hidden="false" customHeight="false" outlineLevel="0" collapsed="false">
      <c r="A12" s="2" t="n">
        <v>2015</v>
      </c>
      <c r="B12" s="2" t="s">
        <v>15</v>
      </c>
      <c r="C12" s="3" t="n">
        <v>254267</v>
      </c>
      <c r="D12" s="3" t="n">
        <v>1170616</v>
      </c>
      <c r="E12" s="3" t="n">
        <v>1991496</v>
      </c>
      <c r="F12" s="3" t="n">
        <f aca="false">SUM(C12:E12)</f>
        <v>3416379</v>
      </c>
      <c r="G12" s="3" t="n">
        <v>111868</v>
      </c>
      <c r="H12" s="3" t="n">
        <v>781321</v>
      </c>
      <c r="I12" s="3" t="n">
        <v>1429867.47270761</v>
      </c>
      <c r="J12" s="3" t="n">
        <f aca="false">SUM(G12:I12)</f>
        <v>2323056.47270761</v>
      </c>
      <c r="K12" s="5" t="n">
        <f aca="false">LN(F12/F11)</f>
        <v>0.0246211140044576</v>
      </c>
      <c r="L12" s="5" t="n">
        <f aca="false">LN(J12/J11)</f>
        <v>-0.00397217176124937</v>
      </c>
    </row>
    <row r="13" customFormat="false" ht="15" hidden="false" customHeight="false" outlineLevel="0" collapsed="false">
      <c r="A13" s="2" t="n">
        <v>2015</v>
      </c>
      <c r="B13" s="2" t="s">
        <v>16</v>
      </c>
      <c r="C13" s="3" t="n">
        <v>362252</v>
      </c>
      <c r="D13" s="3" t="n">
        <v>1151558</v>
      </c>
      <c r="E13" s="3" t="n">
        <v>2048112</v>
      </c>
      <c r="F13" s="3" t="n">
        <f aca="false">SUM(C13:E13)</f>
        <v>3561922</v>
      </c>
      <c r="G13" s="3" t="n">
        <v>206715</v>
      </c>
      <c r="H13" s="3" t="n">
        <v>815354</v>
      </c>
      <c r="I13" s="3" t="n">
        <v>1451591.54066175</v>
      </c>
      <c r="J13" s="3" t="n">
        <f aca="false">SUM(G13:I13)</f>
        <v>2473660.54066175</v>
      </c>
      <c r="K13" s="5" t="n">
        <f aca="false">LN(F13/F12)</f>
        <v>0.0417190685677424</v>
      </c>
      <c r="L13" s="5" t="n">
        <f aca="false">LN(J13/J12)</f>
        <v>0.0628152900877499</v>
      </c>
    </row>
    <row r="14" customFormat="false" ht="15" hidden="false" customHeight="false" outlineLevel="0" collapsed="false">
      <c r="A14" s="2" t="n">
        <v>2016</v>
      </c>
      <c r="B14" s="2" t="s">
        <v>12</v>
      </c>
      <c r="C14" s="3" t="n">
        <v>304604</v>
      </c>
      <c r="D14" s="3" t="n">
        <v>1182688</v>
      </c>
      <c r="E14" s="3" t="n">
        <v>2110445</v>
      </c>
      <c r="F14" s="3" t="n">
        <f aca="false">SUM(C14:E14)</f>
        <v>3597737</v>
      </c>
      <c r="G14" s="3" t="n">
        <v>160071</v>
      </c>
      <c r="H14" s="3" t="n">
        <v>854932</v>
      </c>
      <c r="I14" s="3" t="n">
        <v>1551297</v>
      </c>
      <c r="J14" s="3" t="n">
        <f aca="false">SUM(G14:I14)</f>
        <v>2566300</v>
      </c>
      <c r="K14" s="5" t="n">
        <f aca="false">LN(F14/F13)</f>
        <v>0.0100047498746602</v>
      </c>
      <c r="L14" s="5" t="n">
        <f aca="false">LN(J14/J13)</f>
        <v>0.0367661190144357</v>
      </c>
    </row>
    <row r="15" customFormat="false" ht="15" hidden="false" customHeight="false" outlineLevel="0" collapsed="false">
      <c r="A15" s="2" t="n">
        <v>2016</v>
      </c>
      <c r="B15" s="2" t="s">
        <v>14</v>
      </c>
      <c r="C15" s="3" t="n">
        <v>285736</v>
      </c>
      <c r="D15" s="3" t="n">
        <v>1189165</v>
      </c>
      <c r="E15" s="3" t="n">
        <v>2082149</v>
      </c>
      <c r="F15" s="3" t="n">
        <f aca="false">SUM(C15:E15)</f>
        <v>3557050</v>
      </c>
      <c r="G15" s="3" t="n">
        <v>127708</v>
      </c>
      <c r="H15" s="3" t="n">
        <v>824797</v>
      </c>
      <c r="I15" s="3" t="n">
        <v>1471030</v>
      </c>
      <c r="J15" s="3" t="n">
        <f aca="false">SUM(G15:I15)</f>
        <v>2423535</v>
      </c>
      <c r="K15" s="5" t="n">
        <f aca="false">LN(F15/F14)</f>
        <v>-0.011373487035199</v>
      </c>
      <c r="L15" s="5" t="n">
        <f aca="false">LN(J15/J14)</f>
        <v>-0.0572379547217688</v>
      </c>
    </row>
    <row r="16" customFormat="false" ht="15" hidden="false" customHeight="false" outlineLevel="0" collapsed="false">
      <c r="A16" s="2" t="n">
        <v>2016</v>
      </c>
      <c r="B16" s="2" t="s">
        <v>15</v>
      </c>
      <c r="C16" s="3" t="n">
        <v>263913</v>
      </c>
      <c r="D16" s="3" t="n">
        <v>1210145</v>
      </c>
      <c r="E16" s="3" t="n">
        <v>2154257</v>
      </c>
      <c r="F16" s="3" t="n">
        <f aca="false">SUM(C16:E16)</f>
        <v>3628315</v>
      </c>
      <c r="G16" s="3" t="n">
        <v>109870</v>
      </c>
      <c r="H16" s="3" t="n">
        <v>798442</v>
      </c>
      <c r="I16" s="3" t="n">
        <v>1489323</v>
      </c>
      <c r="J16" s="3" t="n">
        <f aca="false">SUM(G16:I16)</f>
        <v>2397635</v>
      </c>
      <c r="K16" s="5" t="n">
        <f aca="false">LN(F16/F15)</f>
        <v>0.0198368035236952</v>
      </c>
      <c r="L16" s="5" t="n">
        <f aca="false">LN(J16/J15)</f>
        <v>-0.0107443832768167</v>
      </c>
    </row>
    <row r="17" customFormat="false" ht="15" hidden="false" customHeight="false" outlineLevel="0" collapsed="false">
      <c r="A17" s="2" t="n">
        <v>2016</v>
      </c>
      <c r="B17" s="2" t="s">
        <v>16</v>
      </c>
      <c r="C17" s="3" t="n">
        <v>382727</v>
      </c>
      <c r="D17" s="3" t="n">
        <v>1209855</v>
      </c>
      <c r="E17" s="3" t="n">
        <v>2214653</v>
      </c>
      <c r="F17" s="3" t="n">
        <f aca="false">SUM(C17:E17)</f>
        <v>3807235</v>
      </c>
      <c r="G17" s="3" t="n">
        <v>211104</v>
      </c>
      <c r="H17" s="3" t="n">
        <v>830082</v>
      </c>
      <c r="I17" s="3" t="n">
        <v>1520910</v>
      </c>
      <c r="J17" s="3" t="n">
        <f aca="false">SUM(G17:I17)</f>
        <v>2562096</v>
      </c>
      <c r="K17" s="5" t="n">
        <f aca="false">LN(F17/F16)</f>
        <v>0.0481348507096561</v>
      </c>
      <c r="L17" s="5" t="n">
        <f aca="false">LN(J17/J16)</f>
        <v>0.0663428386534954</v>
      </c>
    </row>
    <row r="18" customFormat="false" ht="15" hidden="false" customHeight="false" outlineLevel="0" collapsed="false">
      <c r="A18" s="2" t="n">
        <v>2017</v>
      </c>
      <c r="B18" s="2" t="s">
        <v>12</v>
      </c>
      <c r="C18" s="3" t="n">
        <v>354240</v>
      </c>
      <c r="D18" s="3" t="n">
        <v>1231009</v>
      </c>
      <c r="E18" s="3" t="n">
        <v>2245357</v>
      </c>
      <c r="F18" s="3" t="n">
        <f aca="false">SUM(C18:E18)</f>
        <v>3830606</v>
      </c>
      <c r="G18" s="3" t="n">
        <v>167596</v>
      </c>
      <c r="H18" s="3" t="n">
        <v>868968</v>
      </c>
      <c r="I18" s="3" t="n">
        <v>1627859</v>
      </c>
      <c r="J18" s="3" t="n">
        <f aca="false">SUM(G18:I18)</f>
        <v>2664423</v>
      </c>
      <c r="K18" s="5" t="n">
        <f aca="false">LN(F18/F17)</f>
        <v>0.00611981132914962</v>
      </c>
      <c r="L18" s="5" t="n">
        <f aca="false">LN(J18/J17)</f>
        <v>0.0391618503585881</v>
      </c>
    </row>
    <row r="19" customFormat="false" ht="15" hidden="false" customHeight="false" outlineLevel="0" collapsed="false">
      <c r="A19" s="2" t="n">
        <v>2017</v>
      </c>
      <c r="B19" s="2" t="s">
        <v>14</v>
      </c>
      <c r="C19" s="3" t="n">
        <v>312502</v>
      </c>
      <c r="D19" s="3" t="n">
        <v>1220537</v>
      </c>
      <c r="E19" s="3" t="n">
        <v>2220309</v>
      </c>
      <c r="F19" s="3" t="n">
        <f aca="false">SUM(C19:E19)</f>
        <v>3753348</v>
      </c>
      <c r="G19" s="3" t="n">
        <v>146754</v>
      </c>
      <c r="H19" s="3" t="n">
        <v>828614</v>
      </c>
      <c r="I19" s="3" t="n">
        <v>1548431</v>
      </c>
      <c r="J19" s="3" t="n">
        <f aca="false">SUM(G19:I19)</f>
        <v>2523799</v>
      </c>
      <c r="K19" s="5" t="n">
        <f aca="false">LN(F19/F18)</f>
        <v>-0.0203747735459975</v>
      </c>
      <c r="L19" s="5" t="n">
        <f aca="false">LN(J19/J18)</f>
        <v>-0.0542222178484314</v>
      </c>
    </row>
    <row r="20" customFormat="false" ht="15" hidden="false" customHeight="false" outlineLevel="0" collapsed="false">
      <c r="A20" s="2" t="n">
        <v>2017</v>
      </c>
      <c r="B20" s="2" t="s">
        <v>15</v>
      </c>
      <c r="C20" s="3" t="n">
        <v>269451</v>
      </c>
      <c r="D20" s="3" t="n">
        <v>1280425</v>
      </c>
      <c r="E20" s="3" t="n">
        <v>2304717</v>
      </c>
      <c r="F20" s="3" t="n">
        <f aca="false">SUM(C20:E20)</f>
        <v>3854593</v>
      </c>
      <c r="G20" s="3" t="n">
        <v>118180</v>
      </c>
      <c r="H20" s="3" t="n">
        <v>823730</v>
      </c>
      <c r="I20" s="3" t="n">
        <v>1561816</v>
      </c>
      <c r="J20" s="3" t="n">
        <f aca="false">SUM(G20:I20)</f>
        <v>2503726</v>
      </c>
      <c r="K20" s="5" t="n">
        <f aca="false">LN(F20/F19)</f>
        <v>0.0266171825956724</v>
      </c>
      <c r="L20" s="5" t="n">
        <f aca="false">LN(J20/J19)</f>
        <v>-0.00798528367830351</v>
      </c>
    </row>
    <row r="21" customFormat="false" ht="15" hidden="false" customHeight="false" outlineLevel="0" collapsed="false">
      <c r="A21" s="2" t="n">
        <v>2017</v>
      </c>
      <c r="B21" s="2" t="s">
        <v>16</v>
      </c>
      <c r="C21" s="3" t="n">
        <v>365848</v>
      </c>
      <c r="D21" s="3" t="n">
        <v>1297238</v>
      </c>
      <c r="E21" s="3" t="n">
        <v>2387031</v>
      </c>
      <c r="F21" s="3" t="n">
        <f aca="false">SUM(C21:E21)</f>
        <v>4050117</v>
      </c>
      <c r="G21" s="3" t="n">
        <v>205576</v>
      </c>
      <c r="H21" s="3" t="n">
        <v>857197</v>
      </c>
      <c r="I21" s="3" t="n">
        <v>1610213</v>
      </c>
      <c r="J21" s="3" t="n">
        <f aca="false">SUM(G21:I21)</f>
        <v>2672986</v>
      </c>
      <c r="K21" s="5" t="n">
        <f aca="false">LN(F21/F20)</f>
        <v>0.0494803453209332</v>
      </c>
      <c r="L21" s="5" t="n">
        <f aca="false">LN(J21/J20)</f>
        <v>0.0654161772518918</v>
      </c>
    </row>
    <row r="22" customFormat="false" ht="15" hidden="false" customHeight="false" outlineLevel="0" collapsed="false">
      <c r="A22" s="2" t="n">
        <v>2018</v>
      </c>
      <c r="B22" s="2" t="s">
        <v>12</v>
      </c>
      <c r="C22" s="3" t="n">
        <v>366679</v>
      </c>
      <c r="D22" s="3" t="n">
        <v>1272130</v>
      </c>
      <c r="E22" s="3" t="n">
        <v>2414261</v>
      </c>
      <c r="F22" s="3" t="n">
        <f aca="false">SUM(C22:E22)</f>
        <v>4053070</v>
      </c>
      <c r="G22" s="3" t="n">
        <v>182444</v>
      </c>
      <c r="H22" s="3" t="n">
        <v>896903</v>
      </c>
      <c r="I22" s="3" t="n">
        <v>1717644</v>
      </c>
      <c r="J22" s="3" t="n">
        <f aca="false">SUM(G22:I22)</f>
        <v>2796991</v>
      </c>
      <c r="K22" s="5" t="n">
        <f aca="false">LN(F22/F21)</f>
        <v>0.000728849064133493</v>
      </c>
      <c r="L22" s="5" t="n">
        <f aca="false">LN(J22/J21)</f>
        <v>0.0453479968990873</v>
      </c>
    </row>
    <row r="23" customFormat="false" ht="15" hidden="false" customHeight="false" outlineLevel="0" collapsed="false">
      <c r="A23" s="2" t="n">
        <v>2018</v>
      </c>
      <c r="B23" s="2" t="s">
        <v>14</v>
      </c>
      <c r="C23" s="3" t="n">
        <v>336592</v>
      </c>
      <c r="D23" s="3" t="n">
        <v>1289551</v>
      </c>
      <c r="E23" s="3" t="n">
        <v>2373315</v>
      </c>
      <c r="F23" s="3" t="n">
        <f aca="false">SUM(C23:E23)</f>
        <v>3999458</v>
      </c>
      <c r="G23" s="3" t="n">
        <v>162765</v>
      </c>
      <c r="H23" s="3" t="n">
        <v>851698</v>
      </c>
      <c r="I23" s="3" t="n">
        <v>1623125</v>
      </c>
      <c r="J23" s="3" t="n">
        <f aca="false">SUM(G23:I23)</f>
        <v>2637588</v>
      </c>
      <c r="K23" s="5" t="n">
        <f aca="false">LN(F23/F22)</f>
        <v>-0.0133157667152581</v>
      </c>
      <c r="L23" s="5" t="n">
        <f aca="false">LN(J23/J22)</f>
        <v>-0.0586793333068621</v>
      </c>
    </row>
    <row r="24" customFormat="false" ht="15" hidden="false" customHeight="false" outlineLevel="0" collapsed="false">
      <c r="A24" s="2" t="n">
        <v>2018</v>
      </c>
      <c r="B24" s="2" t="s">
        <v>15</v>
      </c>
      <c r="C24" s="3" t="n">
        <v>276748</v>
      </c>
      <c r="D24" s="3" t="n">
        <v>1349462</v>
      </c>
      <c r="E24" s="3" t="n">
        <v>2439067</v>
      </c>
      <c r="F24" s="3" t="n">
        <f aca="false">SUM(C24:E24)</f>
        <v>4065277</v>
      </c>
      <c r="G24" s="3" t="n">
        <v>122680</v>
      </c>
      <c r="H24" s="3" t="n">
        <v>836639</v>
      </c>
      <c r="I24" s="3" t="n">
        <v>1624871</v>
      </c>
      <c r="J24" s="3" t="n">
        <f aca="false">SUM(G24:I24)</f>
        <v>2584190</v>
      </c>
      <c r="K24" s="5" t="n">
        <f aca="false">LN(F24/F23)</f>
        <v>0.0163230314206574</v>
      </c>
      <c r="L24" s="5" t="n">
        <f aca="false">LN(J24/J23)</f>
        <v>-0.0204527505455325</v>
      </c>
    </row>
    <row r="25" customFormat="false" ht="15" hidden="false" customHeight="false" outlineLevel="0" collapsed="false">
      <c r="A25" s="2" t="n">
        <v>2018</v>
      </c>
      <c r="B25" s="2" t="s">
        <v>16</v>
      </c>
      <c r="C25" s="3" t="n">
        <v>362893</v>
      </c>
      <c r="D25" s="3" t="n">
        <v>1367207</v>
      </c>
      <c r="E25" s="3" t="n">
        <v>2525438</v>
      </c>
      <c r="F25" s="3" t="n">
        <f aca="false">SUM(C25:E25)</f>
        <v>4255538</v>
      </c>
      <c r="G25" s="3" t="n">
        <v>209121</v>
      </c>
      <c r="H25" s="3" t="n">
        <v>891412</v>
      </c>
      <c r="I25" s="3" t="n">
        <v>1679794</v>
      </c>
      <c r="J25" s="3" t="n">
        <f aca="false">SUM(G25:I25)</f>
        <v>2780327</v>
      </c>
      <c r="K25" s="5" t="n">
        <f aca="false">LN(F25/F24)</f>
        <v>0.0457393101559074</v>
      </c>
      <c r="L25" s="5" t="n">
        <f aca="false">LN(J25/J24)</f>
        <v>0.0731564340554771</v>
      </c>
    </row>
    <row r="26" customFormat="false" ht="15" hidden="false" customHeight="false" outlineLevel="0" collapsed="false">
      <c r="A26" s="2" t="n">
        <v>2019</v>
      </c>
      <c r="B26" s="2" t="s">
        <v>12</v>
      </c>
      <c r="C26" s="3" t="n">
        <v>366270</v>
      </c>
      <c r="D26" s="3" t="n">
        <v>1307262</v>
      </c>
      <c r="E26" s="3" t="n">
        <v>2547347</v>
      </c>
      <c r="F26" s="3" t="n">
        <f aca="false">SUM(C26:E26)</f>
        <v>4220879</v>
      </c>
      <c r="G26" s="3" t="n">
        <v>182748</v>
      </c>
      <c r="H26" s="3" t="n">
        <v>901365</v>
      </c>
      <c r="I26" s="3" t="n">
        <v>1789639</v>
      </c>
      <c r="J26" s="3" t="n">
        <f aca="false">SUM(G26:I26)</f>
        <v>2873752</v>
      </c>
      <c r="K26" s="5" t="n">
        <f aca="false">LN(F26/F25)</f>
        <v>-0.00817779331886779</v>
      </c>
      <c r="L26" s="5" t="n">
        <f aca="false">LN(J26/J25)</f>
        <v>0.0330499463653325</v>
      </c>
    </row>
    <row r="27" customFormat="false" ht="15" hidden="false" customHeight="false" outlineLevel="0" collapsed="false">
      <c r="A27" s="2" t="n">
        <v>2019</v>
      </c>
      <c r="B27" s="2" t="s">
        <v>14</v>
      </c>
      <c r="C27" s="3" t="n">
        <v>346119</v>
      </c>
      <c r="D27" s="3" t="n">
        <v>1313416</v>
      </c>
      <c r="E27" s="3" t="n">
        <v>2494637</v>
      </c>
      <c r="F27" s="3" t="n">
        <f aca="false">SUM(C27:E27)</f>
        <v>4154172</v>
      </c>
      <c r="G27" s="3" t="n">
        <v>158159</v>
      </c>
      <c r="H27" s="3" t="n">
        <v>862443</v>
      </c>
      <c r="I27" s="3" t="n">
        <v>1678719</v>
      </c>
      <c r="J27" s="3" t="n">
        <f aca="false">SUM(G27:I27)</f>
        <v>2699321</v>
      </c>
      <c r="K27" s="5" t="n">
        <f aca="false">LN(F27/F26)</f>
        <v>-0.0159302697260557</v>
      </c>
      <c r="L27" s="5" t="n">
        <f aca="false">LN(J27/J26)</f>
        <v>-0.0626182331477433</v>
      </c>
    </row>
    <row r="28" customFormat="false" ht="15" hidden="false" customHeight="false" outlineLevel="0" collapsed="false">
      <c r="A28" s="2" t="n">
        <v>2019</v>
      </c>
      <c r="B28" s="2" t="s">
        <v>15</v>
      </c>
      <c r="C28" s="3" t="n">
        <v>288548</v>
      </c>
      <c r="D28" s="3" t="n">
        <v>1324529</v>
      </c>
      <c r="E28" s="3" t="n">
        <v>2564142</v>
      </c>
      <c r="F28" s="3" t="n">
        <f aca="false">SUM(C28:E28)</f>
        <v>4177219</v>
      </c>
      <c r="G28" s="3" t="n">
        <v>125096</v>
      </c>
      <c r="H28" s="3" t="n">
        <v>835564</v>
      </c>
      <c r="I28" s="3" t="n">
        <v>1685513</v>
      </c>
      <c r="J28" s="3" t="n">
        <f aca="false">SUM(G28:I28)</f>
        <v>2646173</v>
      </c>
      <c r="K28" s="5" t="n">
        <f aca="false">LN(F28/F27)</f>
        <v>0.00553258364372302</v>
      </c>
      <c r="L28" s="5" t="n">
        <f aca="false">LN(J28/J27)</f>
        <v>-0.0198858146383196</v>
      </c>
    </row>
    <row r="29" customFormat="false" ht="15" hidden="false" customHeight="false" outlineLevel="0" collapsed="false">
      <c r="A29" s="2" t="n">
        <v>2019</v>
      </c>
      <c r="B29" s="2" t="s">
        <v>16</v>
      </c>
      <c r="C29" s="3" t="n">
        <v>371911</v>
      </c>
      <c r="D29" s="3" t="n">
        <v>1309451</v>
      </c>
      <c r="E29" s="3" t="n">
        <v>2655542</v>
      </c>
      <c r="F29" s="3" t="n">
        <f aca="false">SUM(C29:E29)</f>
        <v>4336904</v>
      </c>
      <c r="G29" s="3" t="n">
        <v>204372</v>
      </c>
      <c r="H29" s="3" t="n">
        <v>872841</v>
      </c>
      <c r="I29" s="3" t="n">
        <v>1741066</v>
      </c>
      <c r="J29" s="3" t="n">
        <f aca="false">SUM(G29:I29)</f>
        <v>2818279</v>
      </c>
      <c r="K29" s="5" t="n">
        <f aca="false">LN(F29/F28)</f>
        <v>0.0375150153775033</v>
      </c>
      <c r="L29" s="5" t="n">
        <f aca="false">LN(J29/J28)</f>
        <v>0.0630119696994763</v>
      </c>
    </row>
    <row r="30" customFormat="false" ht="15" hidden="false" customHeight="false" outlineLevel="0" collapsed="false">
      <c r="A30" s="2" t="n">
        <v>2020</v>
      </c>
      <c r="B30" s="2" t="s">
        <v>12</v>
      </c>
      <c r="C30" s="3" t="n">
        <v>345706</v>
      </c>
      <c r="D30" s="3" t="n">
        <v>1274682</v>
      </c>
      <c r="E30" s="3" t="n">
        <v>2520085</v>
      </c>
      <c r="F30" s="3" t="n">
        <f aca="false">SUM(C30:E30)</f>
        <v>4140473</v>
      </c>
      <c r="G30" s="3" t="n">
        <v>166599</v>
      </c>
      <c r="H30" s="3" t="n">
        <v>884499</v>
      </c>
      <c r="I30" s="3" t="n">
        <v>1766478</v>
      </c>
      <c r="J30" s="3" t="n">
        <f aca="false">SUM(G30:I30)</f>
        <v>2817576</v>
      </c>
      <c r="K30" s="5" t="n">
        <f aca="false">LN(F30/F29)</f>
        <v>-0.0463506969730236</v>
      </c>
      <c r="L30" s="5" t="n">
        <f aca="false">LN(J30/J29)</f>
        <v>-0.000249474127225074</v>
      </c>
    </row>
    <row r="31" customFormat="false" ht="15" hidden="false" customHeight="false" outlineLevel="0" collapsed="false">
      <c r="A31" s="2" t="n">
        <v>2020</v>
      </c>
      <c r="B31" s="2" t="s">
        <v>14</v>
      </c>
      <c r="C31" s="3" t="n">
        <v>327252</v>
      </c>
      <c r="D31" s="3" t="n">
        <v>1060901</v>
      </c>
      <c r="E31" s="3" t="n">
        <v>2153460</v>
      </c>
      <c r="F31" s="3" t="n">
        <f aca="false">SUM(C31:E31)</f>
        <v>3541613</v>
      </c>
      <c r="G31" s="3" t="n">
        <v>153624</v>
      </c>
      <c r="H31" s="3" t="n">
        <v>742843</v>
      </c>
      <c r="I31" s="3" t="n">
        <v>1469209</v>
      </c>
      <c r="J31" s="3" t="n">
        <f aca="false">SUM(G31:I31)</f>
        <v>2365676</v>
      </c>
      <c r="K31" s="5" t="n">
        <f aca="false">LN(F31/F30)</f>
        <v>-0.156227759432393</v>
      </c>
      <c r="L31" s="5" t="n">
        <f aca="false">LN(J31/J30)</f>
        <v>-0.174813124639998</v>
      </c>
    </row>
    <row r="32" customFormat="false" ht="15" hidden="false" customHeight="false" outlineLevel="0" collapsed="false">
      <c r="A32" s="2" t="n">
        <v>2020</v>
      </c>
      <c r="B32" s="2" t="s">
        <v>15</v>
      </c>
      <c r="C32" s="3" t="n">
        <v>296745</v>
      </c>
      <c r="D32" s="3" t="n">
        <v>1210564</v>
      </c>
      <c r="E32" s="3" t="n">
        <v>2354324</v>
      </c>
      <c r="F32" s="3" t="n">
        <f aca="false">SUM(C32:E32)</f>
        <v>3861633</v>
      </c>
      <c r="G32" s="3" t="n">
        <v>124786</v>
      </c>
      <c r="H32" s="3" t="n">
        <v>790146</v>
      </c>
      <c r="I32" s="3" t="n">
        <v>1563263</v>
      </c>
      <c r="J32" s="3" t="n">
        <f aca="false">SUM(G32:I32)</f>
        <v>2478195</v>
      </c>
      <c r="K32" s="5" t="n">
        <f aca="false">LN(F32/F31)</f>
        <v>0.0865078779217914</v>
      </c>
      <c r="L32" s="5" t="n">
        <f aca="false">LN(J32/J31)</f>
        <v>0.0464666564088399</v>
      </c>
    </row>
    <row r="33" customFormat="false" ht="15" hidden="false" customHeight="false" outlineLevel="0" collapsed="false">
      <c r="A33" s="2" t="n">
        <v>2020</v>
      </c>
      <c r="B33" s="2" t="s">
        <v>16</v>
      </c>
      <c r="C33" s="3" t="n">
        <v>393276</v>
      </c>
      <c r="D33" s="3" t="n">
        <v>1245661</v>
      </c>
      <c r="E33" s="3" t="n">
        <v>2478635</v>
      </c>
      <c r="F33" s="3" t="n">
        <f aca="false">SUM(C33:E33)</f>
        <v>4117572</v>
      </c>
      <c r="G33" s="3" t="n">
        <v>204189</v>
      </c>
      <c r="H33" s="3" t="n">
        <v>855032</v>
      </c>
      <c r="I33" s="3" t="n">
        <v>1641611</v>
      </c>
      <c r="J33" s="3" t="n">
        <f aca="false">SUM(G33:I33)</f>
        <v>2700832</v>
      </c>
      <c r="K33" s="5" t="n">
        <f aca="false">LN(F33/F32)</f>
        <v>0.0641735182473931</v>
      </c>
      <c r="L33" s="5" t="n">
        <f aca="false">LN(J33/J32)</f>
        <v>0.0860294010857365</v>
      </c>
    </row>
    <row r="34" customFormat="false" ht="15" hidden="false" customHeight="false" outlineLevel="0" collapsed="false">
      <c r="A34" s="2" t="n">
        <v>2021</v>
      </c>
      <c r="B34" s="2" t="s">
        <v>12</v>
      </c>
      <c r="C34" s="3" t="n">
        <v>362737</v>
      </c>
      <c r="D34" s="3" t="n">
        <v>1281429</v>
      </c>
      <c r="E34" s="3" t="n">
        <v>2398178</v>
      </c>
      <c r="F34" s="3" t="n">
        <f aca="false">SUM(C34:E34)</f>
        <v>4042344</v>
      </c>
      <c r="G34" s="3" t="n">
        <v>167240</v>
      </c>
      <c r="H34" s="3" t="n">
        <v>888190</v>
      </c>
      <c r="I34" s="3" t="n">
        <v>1690063</v>
      </c>
      <c r="J34" s="3" t="n">
        <f aca="false">SUM(G34:I34)</f>
        <v>2745493</v>
      </c>
      <c r="K34" s="5" t="n">
        <f aca="false">LN(F34/F33)</f>
        <v>-0.0184389475125067</v>
      </c>
      <c r="L34" s="5" t="n">
        <f aca="false">LN(J34/J33)</f>
        <v>0.016400784416336</v>
      </c>
    </row>
    <row r="35" customFormat="false" ht="15" hidden="false" customHeight="false" outlineLevel="0" collapsed="false">
      <c r="A35" s="2" t="n">
        <v>2021</v>
      </c>
      <c r="B35" s="2" t="s">
        <v>14</v>
      </c>
      <c r="C35" s="3" t="n">
        <v>355168</v>
      </c>
      <c r="D35" s="3" t="n">
        <v>1291908</v>
      </c>
      <c r="E35" s="3" t="n">
        <v>2268271</v>
      </c>
      <c r="F35" s="3" t="n">
        <f aca="false">SUM(C35:E35)</f>
        <v>3915347</v>
      </c>
      <c r="G35" s="3" t="n">
        <v>158984</v>
      </c>
      <c r="H35" s="3" t="n">
        <v>849742</v>
      </c>
      <c r="I35" s="3" t="n">
        <v>1541784</v>
      </c>
      <c r="J35" s="3" t="n">
        <f aca="false">SUM(G35:I35)</f>
        <v>2550510</v>
      </c>
      <c r="K35" s="5" t="n">
        <f aca="false">LN(F35/F34)</f>
        <v>-0.0319207627669647</v>
      </c>
      <c r="L35" s="5" t="n">
        <f aca="false">LN(J35/J34)</f>
        <v>-0.0736673189338771</v>
      </c>
    </row>
    <row r="36" customFormat="false" ht="15" hidden="false" customHeight="false" outlineLevel="0" collapsed="false">
      <c r="A36" s="2" t="n">
        <v>2021</v>
      </c>
      <c r="B36" s="2" t="s">
        <v>15</v>
      </c>
      <c r="C36" s="3" t="n">
        <v>300433</v>
      </c>
      <c r="D36" s="3" t="n">
        <v>1266676</v>
      </c>
      <c r="E36" s="3" t="n">
        <v>2360268</v>
      </c>
      <c r="F36" s="3" t="n">
        <f aca="false">SUM(C36:E36)</f>
        <v>3927377</v>
      </c>
      <c r="G36" s="3" t="n">
        <v>130474</v>
      </c>
      <c r="H36" s="3" t="n">
        <v>778563</v>
      </c>
      <c r="I36" s="3" t="n">
        <v>1564705</v>
      </c>
      <c r="J36" s="3" t="n">
        <f aca="false">SUM(G36:I36)</f>
        <v>2473742</v>
      </c>
      <c r="K36" s="5" t="n">
        <f aca="false">LN(F36/F35)</f>
        <v>0.00306781404904984</v>
      </c>
      <c r="L36" s="5" t="n">
        <f aca="false">LN(J36/J35)</f>
        <v>-0.0305613552001355</v>
      </c>
    </row>
    <row r="37" customFormat="false" ht="15" hidden="false" customHeight="false" outlineLevel="0" collapsed="false">
      <c r="A37" s="2" t="n">
        <v>2021</v>
      </c>
      <c r="B37" s="2" t="s">
        <v>16</v>
      </c>
      <c r="C37" s="3" t="n">
        <v>388752</v>
      </c>
      <c r="D37" s="3" t="n">
        <v>1392881</v>
      </c>
      <c r="E37" s="3" t="n">
        <v>2519933</v>
      </c>
      <c r="F37" s="3" t="n">
        <f aca="false">SUM(C37:E37)</f>
        <v>4301566</v>
      </c>
      <c r="G37" s="3" t="n">
        <v>207078</v>
      </c>
      <c r="H37" s="3" t="n">
        <v>878562</v>
      </c>
      <c r="I37" s="3" t="n">
        <v>1666404</v>
      </c>
      <c r="J37" s="3" t="n">
        <f aca="false">SUM(G37:I37)</f>
        <v>2752044</v>
      </c>
      <c r="K37" s="5" t="n">
        <f aca="false">LN(F37/F36)</f>
        <v>0.0910073694212362</v>
      </c>
      <c r="L37" s="5" t="n">
        <f aca="false">LN(J37/J36)</f>
        <v>0.106611924342512</v>
      </c>
    </row>
    <row r="38" customFormat="false" ht="15" hidden="false" customHeight="false" outlineLevel="0" collapsed="false">
      <c r="A38" s="2" t="n">
        <v>2022</v>
      </c>
      <c r="B38" s="2" t="s">
        <v>12</v>
      </c>
      <c r="C38" s="3" t="n">
        <v>394698</v>
      </c>
      <c r="D38" s="3" t="n">
        <v>1389813</v>
      </c>
      <c r="E38" s="3" t="n">
        <v>2498475</v>
      </c>
      <c r="F38" s="3" t="n">
        <f aca="false">SUM(C38:E38)</f>
        <v>4282986</v>
      </c>
      <c r="G38" s="3" t="n">
        <v>172586</v>
      </c>
      <c r="H38" s="3" t="n">
        <v>904482</v>
      </c>
      <c r="I38" s="3" t="n">
        <v>1728607</v>
      </c>
      <c r="J38" s="3" t="n">
        <f aca="false">SUM(G38:I38)</f>
        <v>2805675</v>
      </c>
      <c r="K38" s="5" t="n">
        <f aca="false">LN(F38/F37)</f>
        <v>-0.00432871255536164</v>
      </c>
      <c r="L38" s="5" t="n">
        <f aca="false">LN(J38/J37)</f>
        <v>0.0193002434209397</v>
      </c>
    </row>
    <row r="39" customFormat="false" ht="15" hidden="false" customHeight="false" outlineLevel="0" collapsed="false">
      <c r="A39" s="2" t="n">
        <v>2022</v>
      </c>
      <c r="B39" s="2" t="s">
        <v>14</v>
      </c>
      <c r="C39" s="3" t="n">
        <v>382675</v>
      </c>
      <c r="D39" s="3" t="n">
        <v>1400951</v>
      </c>
      <c r="E39" s="3" t="n">
        <v>2424539</v>
      </c>
      <c r="F39" s="3" t="n">
        <f aca="false">SUM(C39:E39)</f>
        <v>4208165</v>
      </c>
      <c r="G39" s="3" t="n">
        <v>164960</v>
      </c>
      <c r="H39" s="3" t="n">
        <v>839334</v>
      </c>
      <c r="I39" s="3" t="n">
        <v>1607157</v>
      </c>
      <c r="J39" s="3" t="n">
        <f aca="false">SUM(G39:I39)</f>
        <v>2611451</v>
      </c>
      <c r="K39" s="5" t="n">
        <f aca="false">LN(F39/F38)</f>
        <v>-0.0176237441977324</v>
      </c>
      <c r="L39" s="5" t="n">
        <f aca="false">LN(J39/J38)</f>
        <v>-0.0717381461810644</v>
      </c>
    </row>
    <row r="40" customFormat="false" ht="15" hidden="false" customHeight="false" outlineLevel="0" collapsed="false">
      <c r="A40" s="2" t="n">
        <v>2022</v>
      </c>
      <c r="B40" s="2" t="s">
        <v>15</v>
      </c>
      <c r="C40" s="3" t="n">
        <v>327607</v>
      </c>
      <c r="D40" s="3" t="n">
        <v>1451041</v>
      </c>
      <c r="E40" s="3" t="n">
        <v>2562316</v>
      </c>
      <c r="F40" s="3" t="n">
        <f aca="false">SUM(C40:E40)</f>
        <v>4340964</v>
      </c>
      <c r="G40" s="3" t="n">
        <v>128043</v>
      </c>
      <c r="H40" s="3" t="n">
        <v>822756</v>
      </c>
      <c r="I40" s="3" t="n">
        <v>1637934</v>
      </c>
      <c r="J40" s="3" t="n">
        <f aca="false">SUM(G40:I40)</f>
        <v>2588733</v>
      </c>
      <c r="K40" s="5" t="n">
        <f aca="false">LN(F40/F39)</f>
        <v>0.0310697575697353</v>
      </c>
      <c r="L40" s="5" t="n">
        <f aca="false">LN(J40/J39)</f>
        <v>-0.00873743872506335</v>
      </c>
    </row>
    <row r="41" customFormat="false" ht="15" hidden="false" customHeight="false" outlineLevel="0" collapsed="false">
      <c r="A41" s="2" t="n">
        <v>2022</v>
      </c>
      <c r="B41" s="2" t="s">
        <v>16</v>
      </c>
      <c r="C41" s="3" t="n">
        <v>410286</v>
      </c>
      <c r="D41" s="3" t="n">
        <v>1423149</v>
      </c>
      <c r="E41" s="3" t="n">
        <v>2712447</v>
      </c>
      <c r="F41" s="3" t="n">
        <f aca="false">SUM(C41:E41)</f>
        <v>4545882</v>
      </c>
      <c r="G41" s="3" t="n">
        <v>214257</v>
      </c>
      <c r="H41" s="3" t="n">
        <v>848438</v>
      </c>
      <c r="I41" s="3" t="n">
        <v>1728149</v>
      </c>
      <c r="J41" s="3" t="n">
        <f aca="false">SUM(G41:I41)</f>
        <v>2790844</v>
      </c>
      <c r="K41" s="5" t="n">
        <f aca="false">LN(F41/F40)</f>
        <v>0.0461253249452641</v>
      </c>
      <c r="L41" s="5" t="n">
        <f aca="false">LN(J41/J40)</f>
        <v>0.0751754922170482</v>
      </c>
    </row>
    <row r="42" customFormat="false" ht="15" hidden="false" customHeight="false" outlineLevel="0" collapsed="false">
      <c r="A42" s="2" t="n">
        <v>2023</v>
      </c>
      <c r="B42" s="2" t="s">
        <v>12</v>
      </c>
      <c r="C42" s="3" t="n">
        <v>412546</v>
      </c>
      <c r="D42" s="3" t="n">
        <v>1377930</v>
      </c>
      <c r="E42" s="3" t="n">
        <v>2733411</v>
      </c>
      <c r="F42" s="3" t="n">
        <f aca="false">SUM(C42:E42)</f>
        <v>4523887</v>
      </c>
      <c r="G42" s="3" t="n">
        <v>183555</v>
      </c>
      <c r="H42" s="3" t="n">
        <v>878937</v>
      </c>
      <c r="I42" s="3" t="n">
        <v>1819853</v>
      </c>
      <c r="J42" s="3" t="n">
        <f aca="false">SUM(G42:I42)</f>
        <v>2882345</v>
      </c>
      <c r="K42" s="5" t="n">
        <f aca="false">LN(F42/F41)</f>
        <v>-0.00485018816203824</v>
      </c>
      <c r="L42" s="5" t="n">
        <f aca="false">LN(J42/J41)</f>
        <v>0.0322601399013366</v>
      </c>
    </row>
    <row r="43" customFormat="false" ht="15" hidden="false" customHeight="false" outlineLevel="0" collapsed="false">
      <c r="A43" s="2" t="n">
        <v>2023</v>
      </c>
      <c r="B43" s="2" t="s">
        <v>14</v>
      </c>
      <c r="C43" s="3" t="n">
        <v>382733</v>
      </c>
      <c r="D43" s="3" t="n">
        <v>1346483</v>
      </c>
      <c r="E43" s="3" t="n">
        <v>2606769</v>
      </c>
      <c r="F43" s="3" t="n">
        <f aca="false">SUM(C43:E43)</f>
        <v>4335985</v>
      </c>
      <c r="G43" s="3" t="n">
        <v>167749</v>
      </c>
      <c r="H43" s="3" t="n">
        <v>825340</v>
      </c>
      <c r="I43" s="3" t="n">
        <v>1670162</v>
      </c>
      <c r="J43" s="3" t="n">
        <f aca="false">SUM(G43:I43)</f>
        <v>2663251</v>
      </c>
      <c r="K43" s="5" t="n">
        <f aca="false">LN(F43/F42)</f>
        <v>-0.0424227753244865</v>
      </c>
      <c r="L43" s="5" t="n">
        <f aca="false">LN(J43/J42)</f>
        <v>-0.0790566419583899</v>
      </c>
    </row>
    <row r="44" customFormat="false" ht="15" hidden="false" customHeight="false" outlineLevel="0" collapsed="false">
      <c r="A44" s="2" t="n">
        <v>2023</v>
      </c>
      <c r="B44" s="2" t="s">
        <v>15</v>
      </c>
      <c r="C44" s="3" t="n">
        <v>329505</v>
      </c>
      <c r="D44" s="3" t="n">
        <v>1390052</v>
      </c>
      <c r="E44" s="3" t="n">
        <v>2736567</v>
      </c>
      <c r="F44" s="3" t="n">
        <f aca="false">SUM(C44:E44)</f>
        <v>4456124</v>
      </c>
      <c r="G44" s="3" t="n">
        <v>129628</v>
      </c>
      <c r="H44" s="3" t="n">
        <v>805395</v>
      </c>
      <c r="I44" s="3" t="n">
        <v>1698254</v>
      </c>
      <c r="J44" s="3" t="n">
        <f aca="false">SUM(G44:I44)</f>
        <v>2633277</v>
      </c>
      <c r="K44" s="5" t="n">
        <f aca="false">LN(F44/F43)</f>
        <v>0.0273305251641488</v>
      </c>
      <c r="L44" s="5" t="n">
        <f aca="false">LN(J44/J43)</f>
        <v>-0.0113184788192025</v>
      </c>
    </row>
    <row r="45" customFormat="false" ht="15" hidden="false" customHeight="false" outlineLevel="0" collapsed="false">
      <c r="A45" s="2" t="n">
        <v>2023</v>
      </c>
      <c r="B45" s="2" t="s">
        <v>16</v>
      </c>
      <c r="C45" s="3" t="n">
        <v>412634</v>
      </c>
      <c r="D45" s="3" t="n">
        <v>1367373</v>
      </c>
      <c r="E45" s="3" t="n">
        <v>2858665</v>
      </c>
      <c r="F45" s="3" t="n">
        <f aca="false">SUM(C45:E45)</f>
        <v>4638672</v>
      </c>
      <c r="G45" s="3" t="n">
        <v>212785</v>
      </c>
      <c r="H45" s="3" t="n">
        <v>840813</v>
      </c>
      <c r="I45" s="3" t="n">
        <v>1794042</v>
      </c>
      <c r="J45" s="3" t="n">
        <f aca="false">SUM(G45:I45)</f>
        <v>2847640</v>
      </c>
      <c r="K45" s="5" t="n">
        <f aca="false">LN(F45/F44)</f>
        <v>0.0401487884906859</v>
      </c>
      <c r="L45" s="5" t="n">
        <f aca="false">LN(J45/J44)</f>
        <v>0.0782615028946439</v>
      </c>
    </row>
    <row r="46" customFormat="false" ht="15" hidden="false" customHeight="false" outlineLevel="0" collapsed="false">
      <c r="A46" s="2" t="n">
        <v>2024</v>
      </c>
      <c r="B46" s="2" t="s">
        <v>12</v>
      </c>
      <c r="C46" s="3" t="n">
        <v>421214</v>
      </c>
      <c r="D46" s="3" t="n">
        <v>1356994</v>
      </c>
      <c r="E46" s="3" t="n">
        <v>2844841</v>
      </c>
      <c r="F46" s="3" t="n">
        <f aca="false">SUM(C46:E46)</f>
        <v>4623049</v>
      </c>
      <c r="G46" s="3" t="n">
        <v>178455</v>
      </c>
      <c r="H46" s="3" t="n">
        <v>871240</v>
      </c>
      <c r="I46" s="3" t="n">
        <v>1885714</v>
      </c>
      <c r="J46" s="3" t="n">
        <f aca="false">SUM(G46:I46)</f>
        <v>2935409</v>
      </c>
      <c r="K46" s="5" t="n">
        <f aca="false">LN(F46/F45)</f>
        <v>-0.00337367424866139</v>
      </c>
      <c r="L46" s="5" t="n">
        <f aca="false">LN(J46/J45)</f>
        <v>0.0303562151463018</v>
      </c>
    </row>
    <row r="47" customFormat="false" ht="15" hidden="false" customHeight="false" outlineLevel="0" collapsed="false">
      <c r="A47" s="2" t="n">
        <v>2024</v>
      </c>
      <c r="B47" s="2" t="s">
        <v>14</v>
      </c>
      <c r="C47" s="3" t="n">
        <v>408638</v>
      </c>
      <c r="D47" s="3" t="n">
        <v>1396871</v>
      </c>
      <c r="E47" s="3" t="n">
        <v>2715044</v>
      </c>
      <c r="F47" s="3" t="n">
        <f aca="false">SUM(C47:E47)</f>
        <v>4520553</v>
      </c>
      <c r="G47" s="3" t="n">
        <v>164548</v>
      </c>
      <c r="H47" s="3" t="n">
        <v>842479</v>
      </c>
      <c r="I47" s="3" t="n">
        <v>1720789</v>
      </c>
      <c r="J47" s="3" t="n">
        <f aca="false">SUM(G47:I47)</f>
        <v>2727816</v>
      </c>
      <c r="K47" s="5" t="n">
        <f aca="false">LN(F47/F46)</f>
        <v>-0.0224201126346126</v>
      </c>
      <c r="L47" s="5" t="n">
        <f aca="false">LN(J47/J46)</f>
        <v>-0.0733455071858284</v>
      </c>
    </row>
    <row r="48" customFormat="false" ht="15" hidden="false" customHeight="false" outlineLevel="0" collapsed="false">
      <c r="A48" s="2" t="n">
        <v>2024</v>
      </c>
      <c r="B48" s="2" t="s">
        <v>15</v>
      </c>
      <c r="C48" s="3" t="n">
        <v>348690</v>
      </c>
      <c r="D48" s="3" t="n">
        <v>1399181</v>
      </c>
      <c r="E48" s="3" t="n">
        <v>2867969</v>
      </c>
      <c r="F48" s="3" t="n">
        <f aca="false">SUM(C48:E48)</f>
        <v>4615840</v>
      </c>
      <c r="G48" s="3" t="n">
        <v>128326</v>
      </c>
      <c r="H48" s="3" t="n">
        <v>816180</v>
      </c>
      <c r="I48" s="3" t="n">
        <v>1768001</v>
      </c>
      <c r="J48" s="3" t="n">
        <f aca="false">SUM(G48:I48)</f>
        <v>2712507</v>
      </c>
      <c r="K48" s="5" t="n">
        <f aca="false">LN(F48/F47)</f>
        <v>0.0208595350666674</v>
      </c>
      <c r="L48" s="5" t="n">
        <f aca="false">LN(J48/J47)</f>
        <v>-0.00562798951768991</v>
      </c>
    </row>
    <row r="49" customFormat="false" ht="15" hidden="false" customHeight="false" outlineLevel="0" collapsed="false">
      <c r="A49" s="2" t="n">
        <v>2024</v>
      </c>
      <c r="B49" s="2" t="s">
        <v>16</v>
      </c>
      <c r="C49" s="3" t="n">
        <v>440218</v>
      </c>
      <c r="D49" s="3" t="n">
        <v>1370489</v>
      </c>
      <c r="E49" s="3" t="n">
        <v>3012522</v>
      </c>
      <c r="F49" s="3" t="n">
        <f aca="false">SUM(C49:E49)</f>
        <v>4823229</v>
      </c>
      <c r="G49" s="3" t="n">
        <v>215025</v>
      </c>
      <c r="H49" s="3" t="n">
        <v>850296</v>
      </c>
      <c r="I49" s="3" t="n">
        <v>1878605</v>
      </c>
      <c r="J49" s="3" t="n">
        <f aca="false">SUM(G49:I49)</f>
        <v>2943926</v>
      </c>
      <c r="K49" s="5" t="n">
        <f aca="false">LN(F49/F48)</f>
        <v>0.0439497542207268</v>
      </c>
      <c r="L49" s="5" t="n">
        <f aca="false">LN(J49/J48)</f>
        <v>0.0818707651727439</v>
      </c>
    </row>
    <row r="50" customFormat="false" ht="15" hidden="false" customHeight="false" outlineLevel="0" collapsed="false">
      <c r="A50" s="2" t="n">
        <v>2025</v>
      </c>
      <c r="B50" s="2" t="s">
        <v>12</v>
      </c>
      <c r="C50" s="3" t="n">
        <v>444235</v>
      </c>
      <c r="D50" s="3" t="n">
        <v>1349686</v>
      </c>
      <c r="E50" s="3" t="n">
        <v>2968764</v>
      </c>
      <c r="F50" s="3" t="n">
        <f aca="false">SUM(C50:E50)</f>
        <v>4762685</v>
      </c>
      <c r="G50" s="3" t="n">
        <v>189442</v>
      </c>
      <c r="H50" s="3" t="n">
        <v>874376</v>
      </c>
      <c r="I50" s="3" t="n">
        <v>1962416</v>
      </c>
      <c r="J50" s="3" t="n">
        <f aca="false">SUM(G50:I50)</f>
        <v>3026234</v>
      </c>
      <c r="K50" s="5" t="n">
        <f aca="false">LN(F50/F49)</f>
        <v>-0.0126320359379989</v>
      </c>
      <c r="L50" s="5" t="n">
        <f aca="false">LN(J50/J49)</f>
        <v>0.0275748775035432</v>
      </c>
    </row>
    <row r="51" customFormat="false" ht="15" hidden="false" customHeight="false" outlineLevel="0" collapsed="false">
      <c r="A51" s="2" t="n">
        <v>2025</v>
      </c>
      <c r="B51" s="2" t="s">
        <v>14</v>
      </c>
      <c r="C51" s="3" t="n">
        <v>418515</v>
      </c>
      <c r="D51" s="3" t="n">
        <v>1367419</v>
      </c>
      <c r="E51" s="3" t="n">
        <v>2794583</v>
      </c>
      <c r="F51" s="3" t="n">
        <f aca="false">SUM(C51:E51)</f>
        <v>4580517</v>
      </c>
      <c r="G51" s="3" t="n">
        <v>174999</v>
      </c>
      <c r="H51" s="3" t="n">
        <v>848832</v>
      </c>
      <c r="I51" s="3" t="n">
        <v>1779052</v>
      </c>
      <c r="J51" s="3" t="n">
        <f aca="false">SUM(G51:I51)</f>
        <v>2802883</v>
      </c>
      <c r="K51" s="5" t="n">
        <f aca="false">LN(F51/F50)</f>
        <v>-0.0389997109912641</v>
      </c>
      <c r="L51" s="5" t="n">
        <f aca="false">LN(J51/J50)</f>
        <v>-0.0766704118650193</v>
      </c>
    </row>
    <row r="52" customFormat="false" ht="15" hidden="false" customHeight="false" outlineLevel="0" collapsed="false">
      <c r="A52" s="2" t="n">
        <v>2025</v>
      </c>
      <c r="B52" s="2" t="s">
        <v>15</v>
      </c>
      <c r="C52" s="3" t="n">
        <v>338481</v>
      </c>
      <c r="D52" s="3" t="n">
        <v>1356762</v>
      </c>
      <c r="E52" s="3" t="n">
        <v>2924342</v>
      </c>
      <c r="F52" s="3" t="n">
        <f aca="false">SUM(C52:E52)</f>
        <v>4619585</v>
      </c>
      <c r="G52" s="3" t="n">
        <v>130810</v>
      </c>
      <c r="H52" s="3" t="n">
        <v>807758</v>
      </c>
      <c r="I52" s="3" t="n">
        <v>1808712</v>
      </c>
      <c r="J52" s="3" t="n">
        <f aca="false">SUM(G52:I52)</f>
        <v>2747280</v>
      </c>
      <c r="K52" s="5" t="n">
        <f aca="false">LN(F52/F51)</f>
        <v>0.00849300036768927</v>
      </c>
      <c r="L52" s="5" t="n">
        <f aca="false">LN(J52/J51)</f>
        <v>-0.0200371990234838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2026-01-12T15:03:47Z</dcterms:created>
  <dc:creator>openpyxl</dc:creator>
  <dc:description/>
  <dc:language>en-US</dc:language>
  <cp:lastModifiedBy/>
  <dcterms:modified xsi:type="dcterms:W3CDTF">2026-01-12T15:03:47Z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